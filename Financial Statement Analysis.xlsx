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 Projects\"/>
    </mc:Choice>
  </mc:AlternateContent>
  <xr:revisionPtr revIDLastSave="0" documentId="13_ncr:1_{FD3643B4-6CD9-45AC-8AD8-CAB8611BAF3B}" xr6:coauthVersionLast="47" xr6:coauthVersionMax="47" xr10:uidLastSave="{00000000-0000-0000-0000-000000000000}"/>
  <bookViews>
    <workbookView xWindow="-108" yWindow="-108" windowWidth="23256" windowHeight="12456" xr2:uid="{5910C5C2-38E2-4E1B-A3B8-FE8D9FCBAFC2}"/>
  </bookViews>
  <sheets>
    <sheet name="Raw Data" sheetId="1" r:id="rId1"/>
    <sheet name="Ratio Calculation" sheetId="2" r:id="rId2"/>
    <sheet name="Dashbord Data" sheetId="3" r:id="rId3"/>
    <sheet name="Dashbord" sheetId="4" r:id="rId4"/>
    <sheet name="Conclus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3" l="1"/>
  <c r="J7" i="3"/>
  <c r="K7" i="3"/>
  <c r="E14" i="3"/>
  <c r="E13" i="3"/>
  <c r="E12" i="3"/>
  <c r="E11" i="3"/>
  <c r="E10" i="3"/>
  <c r="E9" i="3"/>
  <c r="E8" i="3"/>
  <c r="E7" i="3"/>
  <c r="E6" i="3"/>
  <c r="E5" i="3"/>
  <c r="E4" i="3"/>
  <c r="E3" i="3"/>
  <c r="D14" i="3"/>
  <c r="D13" i="3"/>
  <c r="D12" i="3"/>
  <c r="D11" i="3"/>
  <c r="D10" i="3"/>
  <c r="D9" i="3"/>
  <c r="D8" i="3"/>
  <c r="D7" i="3"/>
  <c r="D6" i="3"/>
  <c r="D5" i="3"/>
  <c r="D4" i="3"/>
  <c r="D3" i="3"/>
  <c r="C14" i="3"/>
  <c r="C13" i="3"/>
  <c r="C12" i="3"/>
  <c r="C11" i="3"/>
  <c r="C10" i="3"/>
  <c r="C9" i="3"/>
  <c r="C8" i="3"/>
  <c r="C7" i="3"/>
  <c r="C6" i="3"/>
  <c r="C5" i="3"/>
  <c r="C4" i="3"/>
  <c r="C3" i="3"/>
  <c r="D10" i="2"/>
  <c r="B14" i="3"/>
  <c r="B13" i="3"/>
  <c r="B12" i="3"/>
  <c r="B11" i="3"/>
  <c r="B10" i="3"/>
  <c r="B9" i="3"/>
  <c r="B8" i="3"/>
  <c r="B7" i="3"/>
  <c r="B6" i="3"/>
  <c r="B5" i="3"/>
  <c r="B4" i="3"/>
  <c r="B3" i="3"/>
  <c r="C3" i="2"/>
  <c r="J13" i="2"/>
  <c r="I13" i="2"/>
  <c r="D13" i="2"/>
  <c r="C13" i="2"/>
  <c r="D12" i="2"/>
  <c r="C12" i="2"/>
  <c r="J12" i="2"/>
  <c r="I12" i="2"/>
  <c r="I5" i="2"/>
  <c r="J10" i="2"/>
  <c r="I10" i="2"/>
  <c r="J6" i="2"/>
  <c r="I6" i="2"/>
  <c r="J5" i="2"/>
  <c r="J4" i="2"/>
  <c r="I4" i="2"/>
  <c r="J3" i="2"/>
  <c r="I3" i="2"/>
  <c r="C8" i="2"/>
  <c r="C7" i="2"/>
  <c r="D11" i="2"/>
  <c r="D9" i="2"/>
  <c r="D8" i="2"/>
  <c r="D7" i="2"/>
  <c r="D6" i="2"/>
  <c r="D5" i="2"/>
  <c r="D4" i="2"/>
  <c r="D3" i="2"/>
  <c r="C11" i="2"/>
  <c r="C10" i="2"/>
  <c r="C9" i="2"/>
  <c r="C6" i="2"/>
  <c r="C14" i="2" s="1"/>
  <c r="C5" i="2"/>
  <c r="C4" i="2"/>
  <c r="H9" i="1"/>
  <c r="H11" i="1" s="1"/>
  <c r="G9" i="1"/>
  <c r="G11" i="1" s="1"/>
  <c r="H6" i="1"/>
  <c r="J11" i="2" s="1"/>
  <c r="G6" i="1"/>
  <c r="I11" i="2" s="1"/>
  <c r="C9" i="1"/>
  <c r="C11" i="1" s="1"/>
  <c r="B9" i="1"/>
  <c r="B11" i="1" s="1"/>
  <c r="C6" i="1"/>
  <c r="B6" i="1"/>
  <c r="D14" i="2" l="1"/>
  <c r="J8" i="2"/>
  <c r="I8" i="2"/>
  <c r="I9" i="2"/>
  <c r="I14" i="2" s="1"/>
  <c r="I7" i="2"/>
  <c r="J7" i="2"/>
  <c r="J9" i="2"/>
  <c r="J14" i="2" s="1"/>
</calcChain>
</file>

<file path=xl/sharedStrings.xml><?xml version="1.0" encoding="utf-8"?>
<sst xmlns="http://schemas.openxmlformats.org/spreadsheetml/2006/main" count="136" uniqueCount="76">
  <si>
    <t>Item</t>
  </si>
  <si>
    <t>Current Assets</t>
  </si>
  <si>
    <t>Total Assets</t>
  </si>
  <si>
    <t>Current Liabilities</t>
  </si>
  <si>
    <t>Total Liabilities</t>
  </si>
  <si>
    <t>Total Equity</t>
  </si>
  <si>
    <t>Non Current Asset</t>
  </si>
  <si>
    <t>Non Current liabilities</t>
  </si>
  <si>
    <t>Total Equity and Liablities</t>
  </si>
  <si>
    <t>Column1</t>
  </si>
  <si>
    <t>Column2</t>
  </si>
  <si>
    <t xml:space="preserve">Square Pharmaceuticals </t>
  </si>
  <si>
    <t>Current Asset</t>
  </si>
  <si>
    <t>Total Asset</t>
  </si>
  <si>
    <t>Non Current Liabilities</t>
  </si>
  <si>
    <t>Total Equity and Liabilities</t>
  </si>
  <si>
    <t>2024</t>
  </si>
  <si>
    <t>2023</t>
  </si>
  <si>
    <t>Revenue</t>
  </si>
  <si>
    <t xml:space="preserve">Gross Profit </t>
  </si>
  <si>
    <t xml:space="preserve">Profit Before Tax </t>
  </si>
  <si>
    <t xml:space="preserve">Net Profit  </t>
  </si>
  <si>
    <t xml:space="preserve">Operating Profit </t>
  </si>
  <si>
    <t xml:space="preserve">Cash and Cash Equivalents </t>
  </si>
  <si>
    <t>Annual Data Of</t>
  </si>
  <si>
    <t xml:space="preserve">Finance Cost </t>
  </si>
  <si>
    <t>Finance Cost ( Interest Expense)</t>
  </si>
  <si>
    <t xml:space="preserve">Net Revenue  </t>
  </si>
  <si>
    <t xml:space="preserve">Operating Income </t>
  </si>
  <si>
    <t xml:space="preserve">Profit before Tax </t>
  </si>
  <si>
    <t xml:space="preserve">Net Profit </t>
  </si>
  <si>
    <t>Annual Report Of</t>
  </si>
  <si>
    <t>Ratio Analysis of Square Pharmaceuticals</t>
  </si>
  <si>
    <t>Current Ratio</t>
  </si>
  <si>
    <t>Gross Profit Margin</t>
  </si>
  <si>
    <t>Operating Profit Margin</t>
  </si>
  <si>
    <t>Net Profit margin</t>
  </si>
  <si>
    <t>Debt Ratio</t>
  </si>
  <si>
    <t>Debt To Equity ratio</t>
  </si>
  <si>
    <t>Total Asset Turnover</t>
  </si>
  <si>
    <t>Return On Equity</t>
  </si>
  <si>
    <t>Return ON Asset</t>
  </si>
  <si>
    <t xml:space="preserve">Ratio </t>
  </si>
  <si>
    <t>Ratio Analysis Of Ibna Sina Pharmaceuticals</t>
  </si>
  <si>
    <t>Ibna Sina Pharmaceuticals</t>
  </si>
  <si>
    <t xml:space="preserve"> </t>
  </si>
  <si>
    <t>31,243,627 Ordinary Shares of Tk. 10 each fully paid up in cash</t>
  </si>
  <si>
    <t xml:space="preserve">886,451,010 ordinary shares od Tk.10 each full paid up </t>
  </si>
  <si>
    <t>Earnig Per Share ( EPS)</t>
  </si>
  <si>
    <t>Earning Per Share</t>
  </si>
  <si>
    <t>Equity Multiplier</t>
  </si>
  <si>
    <t>Dupont Analysis( ROE)</t>
  </si>
  <si>
    <t>Dupont Analysis (ROE)</t>
  </si>
  <si>
    <t>Formula</t>
  </si>
  <si>
    <t>Current Asset/ Current Liabilities</t>
  </si>
  <si>
    <t>Gross Profit/Revenue</t>
  </si>
  <si>
    <t>Operating Profit/Revenue</t>
  </si>
  <si>
    <t>Net Profit/Revenue</t>
  </si>
  <si>
    <t>Total Libailities / Total Assets</t>
  </si>
  <si>
    <t>Total Libailities / Total Equity</t>
  </si>
  <si>
    <t>Revenue /Total Asset</t>
  </si>
  <si>
    <t>Net Profit / Total Assets</t>
  </si>
  <si>
    <t>Net Profit/ Total  Equity</t>
  </si>
  <si>
    <t>Net Profit Margin* Total Asset Turnover* Equity Multiplier</t>
  </si>
  <si>
    <t>Ordinary Share Outstandings ( Unit)</t>
  </si>
  <si>
    <t>Ordinary Share Outstandings (Unit)</t>
  </si>
  <si>
    <t>Net Profit / No. of Ordinary Share Outstandings</t>
  </si>
  <si>
    <t>Total Asset/ Total Equity</t>
  </si>
  <si>
    <t>Table Of Comparison</t>
  </si>
  <si>
    <t>Square Pharma(2023)</t>
  </si>
  <si>
    <t>Square Pharma(2024)</t>
  </si>
  <si>
    <t>Ibna Sina Pharma(2023)</t>
  </si>
  <si>
    <t>Ibna Sina Pharma(2024)</t>
  </si>
  <si>
    <t xml:space="preserve">Conclusion </t>
  </si>
  <si>
    <t>Square pharma</t>
  </si>
  <si>
    <t>Ibna Sina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</si>
</sst>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3" fontId="0" fillId="0" borderId="0" xfId="0" applyNumberFormat="1"/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3" fontId="0" fillId="2" borderId="0" xfId="0" applyNumberFormat="1" applyFill="1"/>
    <xf numFmtId="0" fontId="2" fillId="2" borderId="0" xfId="0" applyFont="1" applyFill="1" applyAlignment="1">
      <alignment horizontal="left" wrapText="1"/>
    </xf>
    <xf numFmtId="3" fontId="0" fillId="2" borderId="0" xfId="0" applyNumberFormat="1" applyFill="1" applyAlignment="1">
      <alignment horizontal="righ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0" xfId="0" applyFont="1" applyFill="1"/>
    <xf numFmtId="0" fontId="0" fillId="2" borderId="0" xfId="0" applyFill="1"/>
    <xf numFmtId="0" fontId="4" fillId="0" borderId="0" xfId="0" applyFont="1"/>
    <xf numFmtId="0" fontId="3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9" fontId="0" fillId="0" borderId="0" xfId="1" applyFont="1" applyAlignment="1">
      <alignment horizontal="left" wrapText="1"/>
    </xf>
    <xf numFmtId="9" fontId="0" fillId="0" borderId="0" xfId="1" applyFont="1"/>
    <xf numFmtId="0" fontId="0" fillId="0" borderId="1" xfId="0" applyBorder="1" applyAlignment="1">
      <alignment horizontal="left" wrapText="1"/>
    </xf>
    <xf numFmtId="3" fontId="0" fillId="6" borderId="0" xfId="0" applyNumberFormat="1" applyFill="1" applyAlignment="1">
      <alignment wrapText="1"/>
    </xf>
    <xf numFmtId="3" fontId="0" fillId="6" borderId="0" xfId="0" applyNumberFormat="1" applyFill="1"/>
    <xf numFmtId="0" fontId="0" fillId="6" borderId="0" xfId="0" applyFill="1" applyAlignment="1">
      <alignment wrapText="1"/>
    </xf>
    <xf numFmtId="0" fontId="0" fillId="0" borderId="2" xfId="0" applyBorder="1" applyAlignment="1">
      <alignment horizontal="left" wrapText="1"/>
    </xf>
    <xf numFmtId="9" fontId="0" fillId="0" borderId="0" xfId="1" applyFont="1" applyBorder="1"/>
    <xf numFmtId="2" fontId="0" fillId="0" borderId="0" xfId="1" applyNumberFormat="1" applyFont="1" applyBorder="1"/>
    <xf numFmtId="2" fontId="0" fillId="0" borderId="0" xfId="1" applyNumberFormat="1" applyFont="1" applyAlignment="1">
      <alignment horizontal="left" wrapText="1"/>
    </xf>
    <xf numFmtId="2" fontId="0" fillId="0" borderId="0" xfId="1" applyNumberFormat="1" applyFont="1"/>
    <xf numFmtId="9" fontId="0" fillId="0" borderId="0" xfId="0" applyNumberFormat="1"/>
    <xf numFmtId="2" fontId="0" fillId="0" borderId="0" xfId="0" applyNumberFormat="1" applyAlignment="1">
      <alignment horizontal="left" wrapText="1"/>
    </xf>
    <xf numFmtId="0" fontId="0" fillId="7" borderId="1" xfId="0" applyFill="1" applyBorder="1" applyAlignment="1">
      <alignment horizontal="left" wrapText="1"/>
    </xf>
    <xf numFmtId="2" fontId="0" fillId="7" borderId="1" xfId="0" applyNumberFormat="1" applyFill="1" applyBorder="1" applyAlignment="1">
      <alignment horizontal="left" wrapText="1"/>
    </xf>
    <xf numFmtId="2" fontId="0" fillId="0" borderId="0" xfId="0" applyNumberFormat="1"/>
    <xf numFmtId="10" fontId="0" fillId="0" borderId="0" xfId="1" applyNumberFormat="1" applyFont="1" applyAlignment="1">
      <alignment horizontal="left" wrapText="1"/>
    </xf>
    <xf numFmtId="10" fontId="0" fillId="0" borderId="0" xfId="1" applyNumberFormat="1" applyFont="1"/>
    <xf numFmtId="10" fontId="0" fillId="0" borderId="0" xfId="0" applyNumberFormat="1"/>
    <xf numFmtId="0" fontId="5" fillId="8" borderId="1" xfId="0" applyFont="1" applyFill="1" applyBorder="1"/>
    <xf numFmtId="0" fontId="5" fillId="8" borderId="3" xfId="0" applyFont="1" applyFill="1" applyBorder="1"/>
    <xf numFmtId="0" fontId="5" fillId="8" borderId="4" xfId="0" applyFont="1" applyFill="1" applyBorder="1"/>
    <xf numFmtId="9" fontId="0" fillId="0" borderId="3" xfId="0" applyNumberFormat="1" applyBorder="1"/>
    <xf numFmtId="9" fontId="0" fillId="0" borderId="4" xfId="0" applyNumberFormat="1" applyBorder="1"/>
    <xf numFmtId="9" fontId="0" fillId="7" borderId="3" xfId="0" applyNumberFormat="1" applyFill="1" applyBorder="1"/>
    <xf numFmtId="9" fontId="0" fillId="7" borderId="4" xfId="0" applyNumberFormat="1" applyFill="1" applyBorder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64" fontId="0" fillId="0" borderId="0" xfId="1" applyNumberFormat="1" applyFont="1"/>
    <xf numFmtId="164" fontId="0" fillId="0" borderId="0" xfId="1" applyNumberFormat="1" applyFont="1" applyAlignment="1">
      <alignment horizontal="left" wrapText="1"/>
    </xf>
    <xf numFmtId="0" fontId="3" fillId="5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20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left" vertical="bottom" textRotation="0" wrapText="1" indent="0" justifyLastLine="0" shrinkToFit="0" readingOrder="0"/>
      <border diagonalUp="0" diagonalDown="0">
        <left style="thin">
          <color theme="5" tint="0.39997558519241921"/>
        </left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theme="5" tint="0.39997558519241921"/>
        </left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CURRENT</a:t>
            </a:r>
            <a:r>
              <a:rPr lang="en-US" b="1" baseline="0">
                <a:solidFill>
                  <a:sysClr val="windowText" lastClr="000000"/>
                </a:solidFill>
              </a:rPr>
              <a:t> RATIO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'Dashbord Data'!$A$3</c:f>
              <c:strCache>
                <c:ptCount val="1"/>
                <c:pt idx="0">
                  <c:v>Current Ratio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'Dashbord Data'!$B$2:$E$2</c:f>
              <c:strCache>
                <c:ptCount val="4"/>
                <c:pt idx="0">
                  <c:v>Square Pharma(2023)</c:v>
                </c:pt>
                <c:pt idx="1">
                  <c:v>Square Pharma(2024)</c:v>
                </c:pt>
                <c:pt idx="2">
                  <c:v>Ibna Sina Pharma(2023)</c:v>
                </c:pt>
                <c:pt idx="3">
                  <c:v>Ibna Sina Pharma(2024)</c:v>
                </c:pt>
              </c:strCache>
            </c:strRef>
          </c:cat>
          <c:val>
            <c:numRef>
              <c:f>'Dashbord Data'!$B$3:$E$3</c:f>
              <c:numCache>
                <c:formatCode>General</c:formatCode>
                <c:ptCount val="4"/>
                <c:pt idx="0">
                  <c:v>21.845521521161405</c:v>
                </c:pt>
                <c:pt idx="1">
                  <c:v>12.477262069935966</c:v>
                </c:pt>
                <c:pt idx="2">
                  <c:v>1.2565637069045041</c:v>
                </c:pt>
                <c:pt idx="3">
                  <c:v>1.1303757582067866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4-4F56-A2B1-A62C0856F8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4881711"/>
        <c:axId val="1214894191"/>
      </c:barChart>
      <c:catAx>
        <c:axId val="121488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894191"/>
        <c:crosses val="autoZero"/>
        <c:auto val="1"/>
        <c:lblAlgn val="ctr"/>
        <c:lblOffset val="100"/>
        <c:noMultiLvlLbl val="0"/>
      </c:catAx>
      <c:valAx>
        <c:axId val="121489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881711"/>
        <c:crosses val="autoZero"/>
        <c:crossBetween val="between"/>
      </c:valAx>
      <c:spPr>
        <a:solidFill>
          <a:schemeClr val="bg2">
            <a:lumMod val="7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>
        <a:lumMod val="40000"/>
        <a:lumOff val="6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DEBT RATIO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'Dashbord Data'!$H$6</c:f>
              <c:strCache>
                <c:ptCount val="1"/>
              </c:strCache>
            </c:strRef>
          </c:tx>
          <c:spPr>
            <a:ln w="19050" cap="rnd" cmpd="sng" algn="ctr">
              <a:solidFill>
                <a:schemeClr val="accent2">
                  <a:tint val="6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F-6CD2-447A-9D16-22DC618F836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0-6CD2-447A-9D16-22DC618F836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1-6CD2-447A-9D16-22DC618F836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2-6CD2-447A-9D16-22DC618F83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'Dashbord Data'!$I$5:$L$5</c:f>
              <c:strCache>
                <c:ptCount val="4"/>
                <c:pt idx="0">
                  <c:v>Square Pharma(2023)</c:v>
                </c:pt>
                <c:pt idx="1">
                  <c:v>Ibna Sina Pharma(2023)</c:v>
                </c:pt>
                <c:pt idx="2">
                  <c:v>Square Pharma(2024)</c:v>
                </c:pt>
                <c:pt idx="3">
                  <c:v>Ibna Sina Pharma(2024)</c:v>
                </c:pt>
              </c:strCache>
            </c:strRef>
          </c:cat>
          <c:val>
            <c:numRef>
              <c:f>'Dashbord Data'!$I$6:$L$6</c:f>
              <c:numCache>
                <c:formatCode>0%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CD2-447A-9D16-22DC618F836D}"/>
            </c:ext>
          </c:extLst>
        </c:ser>
        <c:ser>
          <c:idx val="0"/>
          <c:order val="1"/>
          <c:tx>
            <c:strRef>
              <c:f>'Dashbord Data'!$H$6</c:f>
              <c:strCache>
                <c:ptCount val="1"/>
              </c:strCache>
            </c:strRef>
          </c:tx>
          <c:spPr>
            <a:ln w="19050" cap="rnd" cmpd="sng" algn="ctr">
              <a:solidFill>
                <a:schemeClr val="accent2">
                  <a:shade val="6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'Dashbord Data'!$I$5:$L$5</c:f>
              <c:strCache>
                <c:ptCount val="4"/>
                <c:pt idx="0">
                  <c:v>Square Pharma(2023)</c:v>
                </c:pt>
                <c:pt idx="1">
                  <c:v>Ibna Sina Pharma(2023)</c:v>
                </c:pt>
                <c:pt idx="2">
                  <c:v>Square Pharma(2024)</c:v>
                </c:pt>
                <c:pt idx="3">
                  <c:v>Ibna Sina Pharma(2024)</c:v>
                </c:pt>
              </c:strCache>
            </c:strRef>
          </c:cat>
          <c:val>
            <c:numRef>
              <c:f>'Dashbord Data'!$I$6:$L$6</c:f>
              <c:numCache>
                <c:formatCode>0%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CD2-447A-9D16-22DC618F836D}"/>
            </c:ext>
          </c:extLst>
        </c:ser>
        <c:ser>
          <c:idx val="1"/>
          <c:order val="2"/>
          <c:tx>
            <c:strRef>
              <c:f>'Dashbord Data'!$H$7</c:f>
              <c:strCache>
                <c:ptCount val="1"/>
                <c:pt idx="0">
                  <c:v>Debt Ratio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3-6CD2-447A-9D16-22DC618F83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'Dashbord Data'!$I$5:$L$5</c:f>
              <c:strCache>
                <c:ptCount val="4"/>
                <c:pt idx="0">
                  <c:v>Square Pharma(2023)</c:v>
                </c:pt>
                <c:pt idx="1">
                  <c:v>Ibna Sina Pharma(2023)</c:v>
                </c:pt>
                <c:pt idx="2">
                  <c:v>Square Pharma(2024)</c:v>
                </c:pt>
                <c:pt idx="3">
                  <c:v>Ibna Sina Pharma(2024)</c:v>
                </c:pt>
              </c:strCache>
            </c:strRef>
          </c:cat>
          <c:val>
            <c:numRef>
              <c:f>'Dashbord Data'!$I$7:$L$7</c:f>
              <c:numCache>
                <c:formatCode>0%</c:formatCode>
                <c:ptCount val="4"/>
                <c:pt idx="0">
                  <c:v>4.0457822703089528E-2</c:v>
                </c:pt>
                <c:pt idx="1">
                  <c:v>0.38951330407477863</c:v>
                </c:pt>
                <c:pt idx="2">
                  <c:v>5.5484330489689697E-2</c:v>
                </c:pt>
                <c:pt idx="3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CD2-447A-9D16-22DC618F836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10017503"/>
        <c:axId val="1610017919"/>
      </c:lineChart>
      <c:catAx>
        <c:axId val="161001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017919"/>
        <c:crosses val="autoZero"/>
        <c:auto val="1"/>
        <c:lblAlgn val="ctr"/>
        <c:lblOffset val="100"/>
        <c:noMultiLvlLbl val="0"/>
      </c:catAx>
      <c:valAx>
        <c:axId val="161001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017503"/>
        <c:crosses val="autoZero"/>
        <c:crossBetween val="between"/>
      </c:valAx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accent2">
        <a:lumMod val="20000"/>
        <a:lumOff val="80000"/>
      </a:schemeClr>
    </a:solidFill>
    <a:ln w="6350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RETURN ON EQUITY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v>Square Pharma (2023)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8.9171977962477014E-2"/>
                  <c:y val="-0.122806991444421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06-4D9F-99BE-BE45F49559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'Dashbord Data'!$A$10</c:f>
              <c:strCache>
                <c:ptCount val="1"/>
                <c:pt idx="0">
                  <c:v>Return On Equity</c:v>
                </c:pt>
              </c:strCache>
            </c:strRef>
          </c:cat>
          <c:val>
            <c:numRef>
              <c:f>'Dashbord Data'!$B$10</c:f>
              <c:numCache>
                <c:formatCode>0%</c:formatCode>
                <c:ptCount val="1"/>
                <c:pt idx="0">
                  <c:v>0.16385520262526432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A-4901-B3CA-CC9D7B9C1540}"/>
            </c:ext>
          </c:extLst>
        </c:ser>
        <c:ser>
          <c:idx val="1"/>
          <c:order val="1"/>
          <c:tx>
            <c:v>Square Pharma(2024)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2.400784022066689E-2"/>
                  <c:y val="-9.91902623204942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06-4D9F-99BE-BE45F49559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'Dashbord Data'!$A$10</c:f>
              <c:strCache>
                <c:ptCount val="1"/>
                <c:pt idx="0">
                  <c:v>Return On Equity</c:v>
                </c:pt>
              </c:strCache>
            </c:strRef>
          </c:cat>
          <c:val>
            <c:numRef>
              <c:f>'Dashbord Data'!$C$10</c:f>
              <c:numCache>
                <c:formatCode>0%</c:formatCode>
                <c:ptCount val="1"/>
                <c:pt idx="0">
                  <c:v>0.14737326222610117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8A-4901-B3CA-CC9D7B9C1540}"/>
            </c:ext>
          </c:extLst>
        </c:ser>
        <c:ser>
          <c:idx val="2"/>
          <c:order val="2"/>
          <c:tx>
            <c:v>Ibna Sina (2023)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0.2537971680470501"/>
                  <c:y val="2.361672912392716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06-4D9F-99BE-BE45F49559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'Dashbord Data'!$A$10</c:f>
              <c:strCache>
                <c:ptCount val="1"/>
                <c:pt idx="0">
                  <c:v>Return On Equity</c:v>
                </c:pt>
              </c:strCache>
            </c:strRef>
          </c:cat>
          <c:val>
            <c:numRef>
              <c:f>'Dashbord Data'!$D$10</c:f>
              <c:numCache>
                <c:formatCode>0%</c:formatCode>
                <c:ptCount val="1"/>
                <c:pt idx="0">
                  <c:v>0.19824776395718446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8A-4901-B3CA-CC9D7B9C1540}"/>
            </c:ext>
          </c:extLst>
        </c:ser>
        <c:ser>
          <c:idx val="3"/>
          <c:order val="3"/>
          <c:tx>
            <c:v>Ibna Sina (2024)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0.10975012672304857"/>
                  <c:y val="-1.417003747435632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06-4D9F-99BE-BE45F49559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'Dashbord Data'!$A$10</c:f>
              <c:strCache>
                <c:ptCount val="1"/>
                <c:pt idx="0">
                  <c:v>Return On Equity</c:v>
                </c:pt>
              </c:strCache>
            </c:strRef>
          </c:cat>
          <c:val>
            <c:numRef>
              <c:f>'Dashbord Data'!$E$10</c:f>
              <c:numCache>
                <c:formatCode>0%</c:formatCode>
                <c:ptCount val="1"/>
                <c:pt idx="0">
                  <c:v>0.19000339035035449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8A-4901-B3CA-CC9D7B9C15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08050207"/>
        <c:axId val="1608052287"/>
        <c:axId val="1541151103"/>
      </c:bar3DChart>
      <c:catAx>
        <c:axId val="160805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52287"/>
        <c:crosses val="autoZero"/>
        <c:auto val="1"/>
        <c:lblAlgn val="ctr"/>
        <c:lblOffset val="100"/>
        <c:noMultiLvlLbl val="0"/>
      </c:catAx>
      <c:valAx>
        <c:axId val="160805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50207"/>
        <c:crosses val="autoZero"/>
        <c:crossBetween val="between"/>
      </c:valAx>
      <c:serAx>
        <c:axId val="1541151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52287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'Dashbord Data'!$A$4</c:f>
              <c:strCache>
                <c:ptCount val="1"/>
                <c:pt idx="0">
                  <c:v>Gross Profit Margin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40000176377990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3C5-4512-907D-602D733EE227}"/>
                </c:ext>
              </c:extLst>
            </c:dLbl>
            <c:dLbl>
              <c:idx val="1"/>
              <c:layout>
                <c:manualLayout>
                  <c:x val="0"/>
                  <c:y val="9.80000205774321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3C5-4512-907D-602D733EE227}"/>
                </c:ext>
              </c:extLst>
            </c:dLbl>
            <c:dLbl>
              <c:idx val="2"/>
              <c:layout>
                <c:manualLayout>
                  <c:x val="-2.3686199735160937E-2"/>
                  <c:y val="-0.1143331736132647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3C5-4512-907D-602D733EE2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'Dashbord Data'!$B$2:$E$2</c:f>
              <c:strCache>
                <c:ptCount val="4"/>
                <c:pt idx="0">
                  <c:v>Square Pharma(2023)</c:v>
                </c:pt>
                <c:pt idx="1">
                  <c:v>Square Pharma(2024)</c:v>
                </c:pt>
                <c:pt idx="2">
                  <c:v>Ibna Sina Pharma(2023)</c:v>
                </c:pt>
                <c:pt idx="3">
                  <c:v>Ibna Sina Pharma(2024)</c:v>
                </c:pt>
              </c:strCache>
            </c:strRef>
          </c:cat>
          <c:val>
            <c:numRef>
              <c:f>'Dashbord Data'!$B$4:$E$4</c:f>
              <c:numCache>
                <c:formatCode>0%</c:formatCode>
                <c:ptCount val="4"/>
                <c:pt idx="0">
                  <c:v>0.47988269760742436</c:v>
                </c:pt>
                <c:pt idx="1">
                  <c:v>0.45602492546622048</c:v>
                </c:pt>
                <c:pt idx="2">
                  <c:v>0.4242146943235362</c:v>
                </c:pt>
                <c:pt idx="3">
                  <c:v>0.39851711329214229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C5-4512-907D-602D733EE2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608972975"/>
        <c:axId val="160897588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'Dashbord Data'!$A$3</c15:sqref>
                        </c15:formulaRef>
                      </c:ext>
                    </c:extLst>
                    <c:strCache>
                      <c:ptCount val="1"/>
                      <c:pt idx="0">
                        <c:v>Current Ratio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'Dashbord Data'!$B$2:$E$2</c15:sqref>
                        </c15:formulaRef>
                      </c:ext>
                    </c:extLst>
                    <c:strCache>
                      <c:ptCount val="4"/>
                      <c:pt idx="0">
                        <c:v>Square Pharma(2023)</c:v>
                      </c:pt>
                      <c:pt idx="1">
                        <c:v>Square Pharma(2024)</c:v>
                      </c:pt>
                      <c:pt idx="2">
                        <c:v>Ibna Sina Pharma(2023)</c:v>
                      </c:pt>
                      <c:pt idx="3">
                        <c:v>Ibna Sina Pharma(2024)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'Dashbord Data'!$B$3:$E$3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21.845521521161405</c:v>
                      </c:pt>
                      <c:pt idx="1">
                        <c:v>12.477262069935966</c:v>
                      </c:pt>
                      <c:pt idx="2">
                        <c:v>1.2565637069045041</c:v>
                      </c:pt>
                      <c:pt idx="3">
                        <c:v>1.1303757582067866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3C5-4512-907D-602D733EE227}"/>
                  </c:ext>
                </c:extLst>
              </c15:ser>
            </c15:filteredLineSeries>
          </c:ext>
        </c:extLst>
      </c:lineChart>
      <c:catAx>
        <c:axId val="160897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975887"/>
        <c:crosses val="autoZero"/>
        <c:auto val="1"/>
        <c:lblAlgn val="ctr"/>
        <c:lblOffset val="100"/>
        <c:noMultiLvlLbl val="0"/>
      </c:catAx>
      <c:valAx>
        <c:axId val="1608975887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972975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RETURN ON ASSET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7924838940586971"/>
          <c:y val="0.1925206531560604"/>
          <c:w val="0.65102292931858596"/>
          <c:h val="0.54639182909513362"/>
        </c:manualLayout>
      </c:layout>
      <c:bar3DChart>
        <c:barDir val="bar"/>
        <c:grouping val="clustered"/>
        <c:varyColors val="0"/>
        <c:ser>
          <c:idx val="0"/>
          <c:order val="0"/>
          <c:tx>
            <c:v>Square Pharma (2023)</c:v>
          </c:tx>
          <c:spPr>
            <a:gradFill flip="none" rotWithShape="1"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10800000" scaled="1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0.11146496815286612"/>
                  <c:y val="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2BE-4A4F-96D4-884827E011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'Dashbord Data'!$A$11</c:f>
              <c:strCache>
                <c:ptCount val="1"/>
                <c:pt idx="0">
                  <c:v>Return ON Asset</c:v>
                </c:pt>
              </c:strCache>
            </c:strRef>
          </c:cat>
          <c:val>
            <c:numRef>
              <c:f>'Dashbord Data'!$B$11</c:f>
              <c:numCache>
                <c:formatCode>0%</c:formatCode>
                <c:ptCount val="1"/>
                <c:pt idx="0">
                  <c:v>0.15722597788847256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E-4A4F-96D4-884827E011FB}"/>
            </c:ext>
          </c:extLst>
        </c:ser>
        <c:ser>
          <c:idx val="1"/>
          <c:order val="1"/>
          <c:tx>
            <c:v>Square Pharma (2024)</c:v>
          </c:tx>
          <c:spPr>
            <a:gradFill flip="none" rotWithShape="1">
              <a:gsLst>
                <a:gs pos="100000">
                  <a:schemeClr val="accent2">
                    <a:alpha val="0"/>
                  </a:schemeClr>
                </a:gs>
                <a:gs pos="50000">
                  <a:schemeClr val="accent2"/>
                </a:gs>
              </a:gsLst>
              <a:lin ang="10800000" scaled="1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6.6878980891719744E-2"/>
                  <c:y val="-7.8703703703703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2BE-4A4F-96D4-884827E011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'Dashbord Data'!$A$11</c:f>
              <c:strCache>
                <c:ptCount val="1"/>
                <c:pt idx="0">
                  <c:v>Return ON Asset</c:v>
                </c:pt>
              </c:strCache>
            </c:strRef>
          </c:cat>
          <c:val>
            <c:numRef>
              <c:f>'Dashbord Data'!$C$11</c:f>
              <c:numCache>
                <c:formatCode>0%</c:formatCode>
                <c:ptCount val="1"/>
                <c:pt idx="0">
                  <c:v>0.13919635543940445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BE-4A4F-96D4-884827E011FB}"/>
            </c:ext>
          </c:extLst>
        </c:ser>
        <c:ser>
          <c:idx val="2"/>
          <c:order val="2"/>
          <c:tx>
            <c:v>Ibna Sina (2023)</c:v>
          </c:tx>
          <c:spPr>
            <a:gradFill flip="none" rotWithShape="1">
              <a:gsLst>
                <a:gs pos="100000">
                  <a:schemeClr val="accent3">
                    <a:alpha val="0"/>
                  </a:schemeClr>
                </a:gs>
                <a:gs pos="50000">
                  <a:schemeClr val="accent3"/>
                </a:gs>
              </a:gsLst>
              <a:lin ang="10800000" scaled="1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5923566878980892E-2"/>
                  <c:y val="-6.0185185185185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2BE-4A4F-96D4-884827E011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'Dashbord Data'!$A$11</c:f>
              <c:strCache>
                <c:ptCount val="1"/>
                <c:pt idx="0">
                  <c:v>Return ON Asset</c:v>
                </c:pt>
              </c:strCache>
            </c:strRef>
          </c:cat>
          <c:val>
            <c:numRef>
              <c:f>'Dashbord Data'!$D$11</c:f>
              <c:numCache>
                <c:formatCode>0%</c:formatCode>
                <c:ptCount val="1"/>
                <c:pt idx="0">
                  <c:v>0.12102762239278474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BE-4A4F-96D4-884827E011FB}"/>
            </c:ext>
          </c:extLst>
        </c:ser>
        <c:ser>
          <c:idx val="3"/>
          <c:order val="3"/>
          <c:tx>
            <c:v>Ibna Sina (2024)</c:v>
          </c:tx>
          <c:spPr>
            <a:gradFill flip="none" rotWithShape="1">
              <a:gsLst>
                <a:gs pos="100000">
                  <a:schemeClr val="accent4">
                    <a:alpha val="0"/>
                  </a:schemeClr>
                </a:gs>
                <a:gs pos="50000">
                  <a:schemeClr val="accent4"/>
                </a:gs>
              </a:gsLst>
              <a:lin ang="10800000" scaled="1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3.1847133757962952E-3"/>
                  <c:y val="-9.25925925925926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2BE-4A4F-96D4-884827E011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'Dashbord Data'!$A$11</c:f>
              <c:strCache>
                <c:ptCount val="1"/>
                <c:pt idx="0">
                  <c:v>Return ON Asset</c:v>
                </c:pt>
              </c:strCache>
            </c:strRef>
          </c:cat>
          <c:val>
            <c:numRef>
              <c:f>'Dashbord Data'!$E$11</c:f>
              <c:numCache>
                <c:formatCode>0%</c:formatCode>
                <c:ptCount val="1"/>
                <c:pt idx="0">
                  <c:v>0.10314006119311574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BE-4A4F-96D4-884827E011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0"/>
        <c:shape val="box"/>
        <c:axId val="1735000719"/>
        <c:axId val="1734990735"/>
        <c:axId val="0"/>
      </c:bar3DChart>
      <c:catAx>
        <c:axId val="1735000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990735"/>
        <c:crosses val="autoZero"/>
        <c:auto val="1"/>
        <c:lblAlgn val="ctr"/>
        <c:lblOffset val="100"/>
        <c:noMultiLvlLbl val="0"/>
      </c:catAx>
      <c:valAx>
        <c:axId val="1734990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00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NET</a:t>
            </a:r>
            <a:r>
              <a:rPr lang="en-US" baseline="0">
                <a:solidFill>
                  <a:sysClr val="windowText" lastClr="000000"/>
                </a:solidFill>
              </a:rPr>
              <a:t> PROFIT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v>Square Pharma (2023)</c:v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6.1111111111111137E-2"/>
                  <c:y val="-7.40740740740741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7EA-4E30-9A24-468315ADE7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'Dashbord Data'!$A$6</c:f>
              <c:strCache>
                <c:ptCount val="1"/>
                <c:pt idx="0">
                  <c:v>Net Profit margin</c:v>
                </c:pt>
              </c:strCache>
            </c:strRef>
          </c:cat>
          <c:val>
            <c:numRef>
              <c:f>'Dashbord Data'!$B$6</c:f>
              <c:numCache>
                <c:formatCode>0%</c:formatCode>
                <c:ptCount val="1"/>
                <c:pt idx="0">
                  <c:v>0.36113407854547791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EA-4E30-9A24-468315ADE7AC}"/>
            </c:ext>
          </c:extLst>
        </c:ser>
        <c:ser>
          <c:idx val="1"/>
          <c:order val="1"/>
          <c:tx>
            <c:v>Square Pharma(2024)</c:v>
          </c:tx>
          <c:spPr>
            <a:gradFill>
              <a:gsLst>
                <a:gs pos="100000">
                  <a:schemeClr val="accent2">
                    <a:alpha val="0"/>
                  </a:schemeClr>
                </a:gs>
                <a:gs pos="50000">
                  <a:schemeClr val="accent2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5.5555555555555558E-3"/>
                  <c:y val="-0.1666666666666666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7EA-4E30-9A24-468315ADE7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'Dashbord Data'!$A$6</c:f>
              <c:strCache>
                <c:ptCount val="1"/>
                <c:pt idx="0">
                  <c:v>Net Profit margin</c:v>
                </c:pt>
              </c:strCache>
            </c:strRef>
          </c:cat>
          <c:val>
            <c:numRef>
              <c:f>'Dashbord Data'!$C$6</c:f>
              <c:numCache>
                <c:formatCode>0%</c:formatCode>
                <c:ptCount val="1"/>
                <c:pt idx="0">
                  <c:v>0.2607488948033973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EA-4E30-9A24-468315ADE7AC}"/>
            </c:ext>
          </c:extLst>
        </c:ser>
        <c:ser>
          <c:idx val="2"/>
          <c:order val="2"/>
          <c:tx>
            <c:v>Ibna Sina (2023)</c:v>
          </c:tx>
          <c:spPr>
            <a:gradFill>
              <a:gsLst>
                <a:gs pos="100000">
                  <a:schemeClr val="accent3">
                    <a:alpha val="0"/>
                  </a:schemeClr>
                </a:gs>
                <a:gs pos="50000">
                  <a:schemeClr val="accent3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2.4999999999999949E-2"/>
                  <c:y val="-0.1759259259259259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7EA-4E30-9A24-468315ADE7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'Dashbord Data'!$A$6</c:f>
              <c:strCache>
                <c:ptCount val="1"/>
                <c:pt idx="0">
                  <c:v>Net Profit margin</c:v>
                </c:pt>
              </c:strCache>
            </c:strRef>
          </c:cat>
          <c:val>
            <c:numRef>
              <c:f>'Dashbord Data'!$D$6</c:f>
              <c:numCache>
                <c:formatCode>0%</c:formatCode>
                <c:ptCount val="1"/>
                <c:pt idx="0">
                  <c:v>6.63875862277227E-2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EA-4E30-9A24-468315ADE7AC}"/>
            </c:ext>
          </c:extLst>
        </c:ser>
        <c:ser>
          <c:idx val="3"/>
          <c:order val="3"/>
          <c:tx>
            <c:v>Ibna Sina (2024)</c:v>
          </c:tx>
          <c:spPr>
            <a:gradFill>
              <a:gsLst>
                <a:gs pos="100000">
                  <a:schemeClr val="accent4">
                    <a:alpha val="0"/>
                  </a:schemeClr>
                </a:gs>
                <a:gs pos="50000">
                  <a:schemeClr val="accent4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0.14999999999999991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7EA-4E30-9A24-468315ADE7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'Dashbord Data'!$A$6</c:f>
              <c:strCache>
                <c:ptCount val="1"/>
                <c:pt idx="0">
                  <c:v>Net Profit margin</c:v>
                </c:pt>
              </c:strCache>
            </c:strRef>
          </c:cat>
          <c:val>
            <c:numRef>
              <c:f>'Dashbord Data'!$E$6</c:f>
              <c:numCache>
                <c:formatCode>0%</c:formatCode>
                <c:ptCount val="1"/>
                <c:pt idx="0">
                  <c:v>5.9040986534768303E-2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7EA-4E30-9A24-468315ADE7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0"/>
        <c:shape val="box"/>
        <c:axId val="311487232"/>
        <c:axId val="311492224"/>
        <c:axId val="371824544"/>
      </c:bar3DChart>
      <c:catAx>
        <c:axId val="31148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492224"/>
        <c:crosses val="autoZero"/>
        <c:auto val="1"/>
        <c:lblAlgn val="ctr"/>
        <c:lblOffset val="100"/>
        <c:noMultiLvlLbl val="0"/>
      </c:catAx>
      <c:valAx>
        <c:axId val="31149222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487232"/>
        <c:crosses val="autoZero"/>
        <c:crossBetween val="between"/>
      </c:valAx>
      <c:serAx>
        <c:axId val="371824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492224"/>
        <c:crosses val="autoZero"/>
      </c:serAx>
      <c:spPr>
        <a:solidFill>
          <a:schemeClr val="bg2">
            <a:lumMod val="7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'Dashbord Data'!$H$13</c:f>
              <c:strCache>
                <c:ptCount val="1"/>
                <c:pt idx="0">
                  <c:v>Dupont Analysis( ROE)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71-4BDE-9C4D-5007ECE12D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71-4BDE-9C4D-5007ECE12D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71-4BDE-9C4D-5007ECE12D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71-4BDE-9C4D-5007ECE12D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'Dashbord Data'!$I$12:$L$12</c:f>
              <c:strCache>
                <c:ptCount val="4"/>
                <c:pt idx="0">
                  <c:v>Square Pharma(2023)</c:v>
                </c:pt>
                <c:pt idx="1">
                  <c:v>Square Pharma(2024)</c:v>
                </c:pt>
                <c:pt idx="2">
                  <c:v>Ibna Sina Pharma(2023)</c:v>
                </c:pt>
                <c:pt idx="3">
                  <c:v>Ibna Sina Pharma(2024)</c:v>
                </c:pt>
              </c:strCache>
            </c:strRef>
          </c:cat>
          <c:val>
            <c:numRef>
              <c:f>'Dashbord Data'!$I$13:$L$13</c:f>
              <c:numCache>
                <c:formatCode>0%</c:formatCode>
                <c:ptCount val="4"/>
                <c:pt idx="0">
                  <c:v>0.21</c:v>
                </c:pt>
                <c:pt idx="1">
                  <c:v>0.15</c:v>
                </c:pt>
                <c:pt idx="2">
                  <c:v>0.2</c:v>
                </c:pt>
                <c:pt idx="3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71-4BDE-9C4D-5007ECE12D8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 flip="none" rotWithShape="1"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10800000" scaled="1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researchleap.com/financial-planning-corporate-development-attitude-analysis-selected-enterprises-uzbekistan/" TargetMode="External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32425</xdr:colOff>
      <xdr:row>60</xdr:row>
      <xdr:rowOff>97276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90672C6-69FA-4895-BBA7-AE0EFB47700F}"/>
            </a:ext>
          </a:extLst>
        </xdr:cNvPr>
        <xdr:cNvSpPr/>
      </xdr:nvSpPr>
      <xdr:spPr>
        <a:xfrm>
          <a:off x="0" y="0"/>
          <a:ext cx="15434553" cy="10797702"/>
        </a:xfrm>
        <a:prstGeom prst="roundRect">
          <a:avLst>
            <a:gd name="adj" fmla="val 474"/>
          </a:avLst>
        </a:prstGeom>
        <a:solidFill>
          <a:schemeClr val="accent2">
            <a:lumMod val="40000"/>
            <a:lumOff val="60000"/>
          </a:schemeClr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7620</xdr:colOff>
      <xdr:row>0</xdr:row>
      <xdr:rowOff>22859</xdr:rowOff>
    </xdr:from>
    <xdr:to>
      <xdr:col>20</xdr:col>
      <xdr:colOff>273170</xdr:colOff>
      <xdr:row>7</xdr:row>
      <xdr:rowOff>14376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B52FCA0-FE7A-42CA-9848-392DD5E26FF2}"/>
            </a:ext>
          </a:extLst>
        </xdr:cNvPr>
        <xdr:cNvSpPr/>
      </xdr:nvSpPr>
      <xdr:spPr>
        <a:xfrm>
          <a:off x="7620" y="22859"/>
          <a:ext cx="12342531" cy="1299857"/>
        </a:xfrm>
        <a:prstGeom prst="roundRect">
          <a:avLst>
            <a:gd name="adj" fmla="val 0"/>
          </a:avLst>
        </a:prstGeom>
        <a:solidFill>
          <a:schemeClr val="accent2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68580</xdr:colOff>
      <xdr:row>1</xdr:row>
      <xdr:rowOff>45720</xdr:rowOff>
    </xdr:from>
    <xdr:to>
      <xdr:col>19</xdr:col>
      <xdr:colOff>558800</xdr:colOff>
      <xdr:row>4</xdr:row>
      <xdr:rowOff>165100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C0AB723-CEB4-4539-92FC-7DCD79EEF1B4}"/>
            </a:ext>
          </a:extLst>
        </xdr:cNvPr>
        <xdr:cNvSpPr txBox="1"/>
      </xdr:nvSpPr>
      <xdr:spPr>
        <a:xfrm>
          <a:off x="68580" y="223520"/>
          <a:ext cx="12072620" cy="652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/>
            <a:t>FINANCIAL</a:t>
          </a:r>
          <a:r>
            <a:rPr lang="en-US" sz="3200" b="1" baseline="0"/>
            <a:t> DASHBOARD</a:t>
          </a:r>
        </a:p>
      </xdr:txBody>
    </xdr:sp>
    <xdr:clientData/>
  </xdr:twoCellAnchor>
  <xdr:twoCellAnchor>
    <xdr:from>
      <xdr:col>20</xdr:col>
      <xdr:colOff>348807</xdr:colOff>
      <xdr:row>0</xdr:row>
      <xdr:rowOff>163384</xdr:rowOff>
    </xdr:from>
    <xdr:to>
      <xdr:col>24</xdr:col>
      <xdr:colOff>518808</xdr:colOff>
      <xdr:row>9</xdr:row>
      <xdr:rowOff>155764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DB4A4E4-40C6-4C44-8022-4E760351B58E}"/>
            </a:ext>
          </a:extLst>
        </xdr:cNvPr>
        <xdr:cNvSpPr/>
      </xdr:nvSpPr>
      <xdr:spPr>
        <a:xfrm>
          <a:off x="12670509" y="163384"/>
          <a:ext cx="2634342" cy="1597444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21</xdr:col>
      <xdr:colOff>223846</xdr:colOff>
      <xdr:row>2</xdr:row>
      <xdr:rowOff>73511</xdr:rowOff>
    </xdr:from>
    <xdr:to>
      <xdr:col>24</xdr:col>
      <xdr:colOff>81063</xdr:colOff>
      <xdr:row>8</xdr:row>
      <xdr:rowOff>129703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FF7929C-D63E-4AF1-BF92-5B9E8F0D490A}"/>
            </a:ext>
          </a:extLst>
        </xdr:cNvPr>
        <xdr:cNvSpPr txBox="1"/>
      </xdr:nvSpPr>
      <xdr:spPr>
        <a:xfrm>
          <a:off x="13161633" y="430192"/>
          <a:ext cx="1705473" cy="11262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/>
            <a:t>Current</a:t>
          </a:r>
          <a:r>
            <a:rPr lang="en-US" sz="1400" b="1" i="0" baseline="0"/>
            <a:t> Ratio(2024)</a:t>
          </a:r>
        </a:p>
        <a:p>
          <a:r>
            <a:rPr lang="en-US" sz="1400" b="1" baseline="0"/>
            <a:t>Square &amp; Ibna Sina</a:t>
          </a:r>
          <a:endParaRPr lang="en-US" sz="1400" baseline="0"/>
        </a:p>
        <a:p>
          <a:r>
            <a:rPr lang="en-US" sz="1400" b="1" baseline="0"/>
            <a:t>12. 47              1.13</a:t>
          </a:r>
        </a:p>
        <a:p>
          <a:endParaRPr lang="en-US" sz="1400" b="1"/>
        </a:p>
      </xdr:txBody>
    </xdr:sp>
    <xdr:clientData/>
  </xdr:twoCellAnchor>
  <xdr:twoCellAnchor>
    <xdr:from>
      <xdr:col>20</xdr:col>
      <xdr:colOff>294344</xdr:colOff>
      <xdr:row>17</xdr:row>
      <xdr:rowOff>29401</xdr:rowOff>
    </xdr:from>
    <xdr:to>
      <xdr:col>24</xdr:col>
      <xdr:colOff>489924</xdr:colOff>
      <xdr:row>26</xdr:row>
      <xdr:rowOff>6541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E7947225-4BC4-4BE5-8BB8-AE5066EDE189}"/>
            </a:ext>
          </a:extLst>
        </xdr:cNvPr>
        <xdr:cNvSpPr/>
      </xdr:nvSpPr>
      <xdr:spPr>
        <a:xfrm>
          <a:off x="12616046" y="3061188"/>
          <a:ext cx="2659921" cy="1582204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182895</xdr:colOff>
      <xdr:row>19</xdr:row>
      <xdr:rowOff>58233</xdr:rowOff>
    </xdr:from>
    <xdr:to>
      <xdr:col>24</xdr:col>
      <xdr:colOff>102185</xdr:colOff>
      <xdr:row>23</xdr:row>
      <xdr:rowOff>126160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5EF2AD3-D78E-4A76-AEB2-996E71B100C9}"/>
            </a:ext>
          </a:extLst>
        </xdr:cNvPr>
        <xdr:cNvSpPr txBox="1"/>
      </xdr:nvSpPr>
      <xdr:spPr>
        <a:xfrm>
          <a:off x="13120682" y="3446701"/>
          <a:ext cx="1767546" cy="7812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chemeClr val="bg1"/>
              </a:solidFill>
            </a:rPr>
            <a:t>ROA(2024)</a:t>
          </a:r>
        </a:p>
        <a:p>
          <a:r>
            <a:rPr lang="en-US" sz="1400" b="1">
              <a:solidFill>
                <a:schemeClr val="bg1"/>
              </a:solidFill>
            </a:rPr>
            <a:t>Square</a:t>
          </a:r>
          <a:r>
            <a:rPr lang="en-US" sz="1400" b="1" baseline="0">
              <a:solidFill>
                <a:schemeClr val="bg1"/>
              </a:solidFill>
            </a:rPr>
            <a:t> &amp; Ibna Sina</a:t>
          </a:r>
        </a:p>
        <a:p>
          <a:r>
            <a:rPr lang="en-US" sz="14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14%</a:t>
          </a:r>
          <a:r>
            <a:rPr lang="en-US" sz="1400" b="1">
              <a:solidFill>
                <a:schemeClr val="bg1"/>
              </a:solidFill>
            </a:rPr>
            <a:t>               </a:t>
          </a:r>
          <a:r>
            <a:rPr lang="en-US" sz="14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10%</a:t>
          </a:r>
          <a:r>
            <a:rPr lang="en-US" sz="1400" b="1">
              <a:solidFill>
                <a:schemeClr val="bg1"/>
              </a:solidFill>
            </a:rPr>
            <a:t> </a:t>
          </a:r>
        </a:p>
      </xdr:txBody>
    </xdr:sp>
    <xdr:clientData/>
  </xdr:twoCellAnchor>
  <xdr:twoCellAnchor>
    <xdr:from>
      <xdr:col>20</xdr:col>
      <xdr:colOff>358533</xdr:colOff>
      <xdr:row>33</xdr:row>
      <xdr:rowOff>171678</xdr:rowOff>
    </xdr:from>
    <xdr:to>
      <xdr:col>24</xdr:col>
      <xdr:colOff>549033</xdr:colOff>
      <xdr:row>43</xdr:row>
      <xdr:rowOff>134230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E508020-7A6B-4173-A140-BB815A886729}"/>
            </a:ext>
          </a:extLst>
        </xdr:cNvPr>
        <xdr:cNvSpPr/>
      </xdr:nvSpPr>
      <xdr:spPr>
        <a:xfrm>
          <a:off x="12680235" y="6056912"/>
          <a:ext cx="2654841" cy="1745956"/>
        </a:xfrm>
        <a:prstGeom prst="ellips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178341</xdr:colOff>
      <xdr:row>36</xdr:row>
      <xdr:rowOff>7147</xdr:rowOff>
    </xdr:from>
    <xdr:to>
      <xdr:col>24</xdr:col>
      <xdr:colOff>226978</xdr:colOff>
      <xdr:row>41</xdr:row>
      <xdr:rowOff>145914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3BF8B38-8F99-417C-9902-0D6C2261FC0E}"/>
            </a:ext>
          </a:extLst>
        </xdr:cNvPr>
        <xdr:cNvSpPr txBox="1"/>
      </xdr:nvSpPr>
      <xdr:spPr>
        <a:xfrm>
          <a:off x="13116128" y="6427402"/>
          <a:ext cx="1896893" cy="10304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chemeClr val="bg1"/>
              </a:solidFill>
            </a:rPr>
            <a:t>ROE(2024)</a:t>
          </a:r>
        </a:p>
        <a:p>
          <a:r>
            <a:rPr lang="en-US" sz="1400" b="1">
              <a:solidFill>
                <a:schemeClr val="bg1"/>
              </a:solidFill>
            </a:rPr>
            <a:t>Square &amp; Ibna Sina</a:t>
          </a:r>
        </a:p>
        <a:p>
          <a:r>
            <a:rPr lang="en-US" sz="14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15%</a:t>
          </a:r>
          <a:r>
            <a:rPr lang="en-US" sz="1400" b="1">
              <a:solidFill>
                <a:schemeClr val="bg1"/>
              </a:solidFill>
            </a:rPr>
            <a:t>               </a:t>
          </a:r>
          <a:r>
            <a:rPr lang="en-US" sz="14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19%</a:t>
          </a:r>
          <a:r>
            <a:rPr lang="en-US" sz="1400" b="1">
              <a:solidFill>
                <a:schemeClr val="bg1"/>
              </a:solidFill>
            </a:rPr>
            <a:t> </a:t>
          </a:r>
        </a:p>
      </xdr:txBody>
    </xdr:sp>
    <xdr:clientData/>
  </xdr:twoCellAnchor>
  <xdr:twoCellAnchor>
    <xdr:from>
      <xdr:col>20</xdr:col>
      <xdr:colOff>479657</xdr:colOff>
      <xdr:row>49</xdr:row>
      <xdr:rowOff>100275</xdr:rowOff>
    </xdr:from>
    <xdr:to>
      <xdr:col>24</xdr:col>
      <xdr:colOff>606657</xdr:colOff>
      <xdr:row>59</xdr:row>
      <xdr:rowOff>49477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5E2A2E72-43B8-498C-8A4B-7B727E94C03B}"/>
            </a:ext>
          </a:extLst>
        </xdr:cNvPr>
        <xdr:cNvSpPr/>
      </xdr:nvSpPr>
      <xdr:spPr>
        <a:xfrm>
          <a:off x="12801359" y="8838956"/>
          <a:ext cx="2591341" cy="1732606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206592</xdr:colOff>
      <xdr:row>51</xdr:row>
      <xdr:rowOff>131067</xdr:rowOff>
    </xdr:from>
    <xdr:to>
      <xdr:col>24</xdr:col>
      <xdr:colOff>346292</xdr:colOff>
      <xdr:row>57</xdr:row>
      <xdr:rowOff>158356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A29A2EB-057D-462A-9B67-E4BDBF1DEEF7}"/>
            </a:ext>
          </a:extLst>
        </xdr:cNvPr>
        <xdr:cNvSpPr txBox="1"/>
      </xdr:nvSpPr>
      <xdr:spPr>
        <a:xfrm>
          <a:off x="13144379" y="9226429"/>
          <a:ext cx="1987956" cy="10973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Net Profit Margin(2024)</a:t>
          </a:r>
        </a:p>
        <a:p>
          <a:r>
            <a:rPr lang="en-US" sz="1400" b="1"/>
            <a:t>Square &amp; Ibna Sina</a:t>
          </a:r>
        </a:p>
        <a:p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26%</a:t>
          </a:r>
          <a:r>
            <a:rPr lang="en-US" sz="1400" b="1"/>
            <a:t>              </a:t>
          </a:r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6%</a:t>
          </a:r>
          <a:r>
            <a:rPr lang="en-US" sz="1400" b="1"/>
            <a:t> </a:t>
          </a:r>
        </a:p>
      </xdr:txBody>
    </xdr:sp>
    <xdr:clientData/>
  </xdr:twoCellAnchor>
  <xdr:twoCellAnchor>
    <xdr:from>
      <xdr:col>0</xdr:col>
      <xdr:colOff>88852</xdr:colOff>
      <xdr:row>7</xdr:row>
      <xdr:rowOff>30624</xdr:rowOff>
    </xdr:from>
    <xdr:to>
      <xdr:col>6</xdr:col>
      <xdr:colOff>111712</xdr:colOff>
      <xdr:row>19</xdr:row>
      <xdr:rowOff>118470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1EC9F41-6C86-4836-9FED-9634328876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</xdr:colOff>
      <xdr:row>6</xdr:row>
      <xdr:rowOff>152400</xdr:rowOff>
    </xdr:from>
    <xdr:to>
      <xdr:col>6</xdr:col>
      <xdr:colOff>76200</xdr:colOff>
      <xdr:row>19</xdr:row>
      <xdr:rowOff>68580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55A0A64-5A56-4FB1-9178-E03D2B84E9D4}"/>
            </a:ext>
          </a:extLst>
        </xdr:cNvPr>
        <xdr:cNvSpPr/>
      </xdr:nvSpPr>
      <xdr:spPr>
        <a:xfrm>
          <a:off x="30480" y="1249680"/>
          <a:ext cx="3703320" cy="22936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31</xdr:row>
      <xdr:rowOff>144780</xdr:rowOff>
    </xdr:from>
    <xdr:to>
      <xdr:col>6</xdr:col>
      <xdr:colOff>289560</xdr:colOff>
      <xdr:row>45</xdr:row>
      <xdr:rowOff>16510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27FC5CC-B273-418A-AB07-4E5A067573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573314</xdr:colOff>
      <xdr:row>31</xdr:row>
      <xdr:rowOff>157843</xdr:rowOff>
    </xdr:from>
    <xdr:to>
      <xdr:col>13</xdr:col>
      <xdr:colOff>9071</xdr:colOff>
      <xdr:row>47</xdr:row>
      <xdr:rowOff>1815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73049F3-B0AC-45F1-9C28-A60BE2419A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27214</xdr:colOff>
      <xdr:row>19</xdr:row>
      <xdr:rowOff>146957</xdr:rowOff>
    </xdr:from>
    <xdr:to>
      <xdr:col>6</xdr:col>
      <xdr:colOff>81062</xdr:colOff>
      <xdr:row>31</xdr:row>
      <xdr:rowOff>101600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16B8D98-6E88-4982-8CAD-019554BBE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114300</xdr:colOff>
      <xdr:row>31</xdr:row>
      <xdr:rowOff>165100</xdr:rowOff>
    </xdr:from>
    <xdr:to>
      <xdr:col>20</xdr:col>
      <xdr:colOff>177800</xdr:colOff>
      <xdr:row>47</xdr:row>
      <xdr:rowOff>48638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B1CA884-BB87-4888-A3FE-9EA1543860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190500</xdr:colOff>
      <xdr:row>7</xdr:row>
      <xdr:rowOff>25400</xdr:rowOff>
    </xdr:from>
    <xdr:to>
      <xdr:col>20</xdr:col>
      <xdr:colOff>101600</xdr:colOff>
      <xdr:row>31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956E8B4-388C-4CDB-9951-1068ED39C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13</xdr:col>
      <xdr:colOff>444500</xdr:colOff>
      <xdr:row>1</xdr:row>
      <xdr:rowOff>101600</xdr:rowOff>
    </xdr:from>
    <xdr:to>
      <xdr:col>16</xdr:col>
      <xdr:colOff>24641</xdr:colOff>
      <xdr:row>5</xdr:row>
      <xdr:rowOff>107567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AAD4315-F5BA-441D-B858-FC9AAA841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tretch>
          <a:fillRect/>
        </a:stretch>
      </xdr:blipFill>
      <xdr:spPr>
        <a:xfrm>
          <a:off x="8369300" y="279400"/>
          <a:ext cx="1408941" cy="717167"/>
        </a:xfrm>
        <a:prstGeom prst="rect">
          <a:avLst/>
        </a:prstGeom>
      </xdr:spPr>
    </xdr:pic>
    <xdr:clientData/>
  </xdr:twoCellAnchor>
  <xdr:oneCellAnchor>
    <xdr:from>
      <xdr:col>28</xdr:col>
      <xdr:colOff>88900</xdr:colOff>
      <xdr:row>39</xdr:row>
      <xdr:rowOff>44110</xdr:rowOff>
    </xdr:from>
    <xdr:ext cx="3568700" cy="24799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E0C3B9D-D345-498C-8470-F2DB4286C188}"/>
            </a:ext>
          </a:extLst>
        </xdr:cNvPr>
        <xdr:cNvSpPr txBox="1"/>
      </xdr:nvSpPr>
      <xdr:spPr>
        <a:xfrm>
          <a:off x="17157700" y="6978310"/>
          <a:ext cx="3568700" cy="2479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900"/>
        </a:p>
      </xdr:txBody>
    </xdr:sp>
    <xdr:clientData/>
  </xdr:oneCellAnchor>
  <xdr:twoCellAnchor>
    <xdr:from>
      <xdr:col>0</xdr:col>
      <xdr:colOff>0</xdr:colOff>
      <xdr:row>45</xdr:row>
      <xdr:rowOff>46653</xdr:rowOff>
    </xdr:from>
    <xdr:to>
      <xdr:col>6</xdr:col>
      <xdr:colOff>357673</xdr:colOff>
      <xdr:row>60</xdr:row>
      <xdr:rowOff>124408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C49E231E-6EED-45B1-9704-8DC50F861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389110</xdr:colOff>
      <xdr:row>44</xdr:row>
      <xdr:rowOff>48641</xdr:rowOff>
    </xdr:from>
    <xdr:to>
      <xdr:col>23</xdr:col>
      <xdr:colOff>155181</xdr:colOff>
      <xdr:row>49</xdr:row>
      <xdr:rowOff>5</xdr:rowOff>
    </xdr:to>
    <xdr:cxnSp macro="">
      <xdr:nvCxnSpPr>
        <xdr:cNvPr id="30" name="Connector: Elbow 29">
          <a:extLst>
            <a:ext uri="{FF2B5EF4-FFF2-40B4-BE49-F238E27FC236}">
              <a16:creationId xmlns:a16="http://schemas.microsoft.com/office/drawing/2014/main" id="{ABCCB419-28F0-4C93-890B-06B39F709D14}"/>
            </a:ext>
          </a:extLst>
        </xdr:cNvPr>
        <xdr:cNvCxnSpPr/>
      </xdr:nvCxnSpPr>
      <xdr:spPr>
        <a:xfrm rot="16200000" flipH="1">
          <a:off x="13712527" y="8126075"/>
          <a:ext cx="843066" cy="382156"/>
        </a:xfrm>
        <a:prstGeom prst="bentConnector3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178341</xdr:colOff>
      <xdr:row>26</xdr:row>
      <xdr:rowOff>113488</xdr:rowOff>
    </xdr:from>
    <xdr:to>
      <xdr:col>22</xdr:col>
      <xdr:colOff>572282</xdr:colOff>
      <xdr:row>32</xdr:row>
      <xdr:rowOff>138180</xdr:rowOff>
    </xdr:to>
    <xdr:cxnSp macro="">
      <xdr:nvCxnSpPr>
        <xdr:cNvPr id="32" name="Connector: Elbow 31">
          <a:extLst>
            <a:ext uri="{FF2B5EF4-FFF2-40B4-BE49-F238E27FC236}">
              <a16:creationId xmlns:a16="http://schemas.microsoft.com/office/drawing/2014/main" id="{F1D01A5C-6126-4CB8-89A1-5171ED2B3809}"/>
            </a:ext>
          </a:extLst>
        </xdr:cNvPr>
        <xdr:cNvCxnSpPr/>
      </xdr:nvCxnSpPr>
      <xdr:spPr>
        <a:xfrm rot="16200000" flipH="1">
          <a:off x="13381816" y="5100736"/>
          <a:ext cx="1094735" cy="393941"/>
        </a:xfrm>
        <a:prstGeom prst="bentConnector3">
          <a:avLst>
            <a:gd name="adj1" fmla="val 50000"/>
          </a:avLst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291830</xdr:colOff>
      <xdr:row>10</xdr:row>
      <xdr:rowOff>145915</xdr:rowOff>
    </xdr:from>
    <xdr:to>
      <xdr:col>22</xdr:col>
      <xdr:colOff>609210</xdr:colOff>
      <xdr:row>16</xdr:row>
      <xdr:rowOff>120182</xdr:rowOff>
    </xdr:to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id="{24CFD007-510E-45B2-9C0F-3929A1DFE865}"/>
            </a:ext>
          </a:extLst>
        </xdr:cNvPr>
        <xdr:cNvCxnSpPr/>
      </xdr:nvCxnSpPr>
      <xdr:spPr>
        <a:xfrm rot="16200000" flipH="1">
          <a:off x="13482237" y="2292784"/>
          <a:ext cx="1044310" cy="317380"/>
        </a:xfrm>
        <a:prstGeom prst="bentConnector3">
          <a:avLst>
            <a:gd name="adj1" fmla="val 50000"/>
          </a:avLst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453958</xdr:colOff>
      <xdr:row>47</xdr:row>
      <xdr:rowOff>145915</xdr:rowOff>
    </xdr:from>
    <xdr:to>
      <xdr:col>20</xdr:col>
      <xdr:colOff>453959</xdr:colOff>
      <xdr:row>60</xdr:row>
      <xdr:rowOff>81063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18A91469-C4BE-43EB-9CC8-E554EEE52E4A}"/>
            </a:ext>
          </a:extLst>
        </xdr:cNvPr>
        <xdr:cNvSpPr/>
      </xdr:nvSpPr>
      <xdr:spPr>
        <a:xfrm>
          <a:off x="4150469" y="8527915"/>
          <a:ext cx="8625192" cy="2253574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583659</xdr:colOff>
      <xdr:row>49</xdr:row>
      <xdr:rowOff>97277</xdr:rowOff>
    </xdr:from>
    <xdr:to>
      <xdr:col>20</xdr:col>
      <xdr:colOff>308041</xdr:colOff>
      <xdr:row>58</xdr:row>
      <xdr:rowOff>81064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44903729-A75D-4963-A207-B5A0E09E562B}"/>
            </a:ext>
          </a:extLst>
        </xdr:cNvPr>
        <xdr:cNvSpPr txBox="1"/>
      </xdr:nvSpPr>
      <xdr:spPr>
        <a:xfrm>
          <a:off x="4280170" y="8835958"/>
          <a:ext cx="8349573" cy="1588851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/>
            <a:t>Overall Result</a:t>
          </a:r>
        </a:p>
        <a:p>
          <a:pPr algn="ctr"/>
          <a:r>
            <a:rPr lang="en-US" sz="2000"/>
            <a:t>Square Pharmaceuticals showed stronger liquidity and profitability, while Ibn Sina demonstrated higher leverage and shareholder returns during 2023–2024.</a:t>
          </a:r>
          <a:endParaRPr lang="en-US" sz="20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13</xdr:row>
      <xdr:rowOff>68580</xdr:rowOff>
    </xdr:from>
    <xdr:to>
      <xdr:col>5</xdr:col>
      <xdr:colOff>114300</xdr:colOff>
      <xdr:row>17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1D7B4F3-3693-4E91-BF64-4EC26929E406}"/>
            </a:ext>
          </a:extLst>
        </xdr:cNvPr>
        <xdr:cNvSpPr/>
      </xdr:nvSpPr>
      <xdr:spPr>
        <a:xfrm>
          <a:off x="30480" y="2613660"/>
          <a:ext cx="5486400" cy="70104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7620</xdr:colOff>
      <xdr:row>2</xdr:row>
      <xdr:rowOff>38100</xdr:rowOff>
    </xdr:from>
    <xdr:to>
      <xdr:col>1</xdr:col>
      <xdr:colOff>1295400</xdr:colOff>
      <xdr:row>2</xdr:row>
      <xdr:rowOff>2103120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E7C46EA-979A-45B5-9CDD-A31A5BD47118}"/>
            </a:ext>
          </a:extLst>
        </xdr:cNvPr>
        <xdr:cNvSpPr/>
      </xdr:nvSpPr>
      <xdr:spPr>
        <a:xfrm>
          <a:off x="7620" y="403860"/>
          <a:ext cx="2918460" cy="2065020"/>
        </a:xfrm>
        <a:prstGeom prst="roundRect">
          <a:avLst>
            <a:gd name="adj" fmla="val 6335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15240</xdr:colOff>
      <xdr:row>2</xdr:row>
      <xdr:rowOff>15240</xdr:rowOff>
    </xdr:from>
    <xdr:to>
      <xdr:col>1</xdr:col>
      <xdr:colOff>1264920</xdr:colOff>
      <xdr:row>13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8ACEB1E-47B8-40EF-84E1-F68098D77E72}"/>
            </a:ext>
          </a:extLst>
        </xdr:cNvPr>
        <xdr:cNvSpPr txBox="1"/>
      </xdr:nvSpPr>
      <xdr:spPr>
        <a:xfrm>
          <a:off x="15240" y="548640"/>
          <a:ext cx="2880360" cy="203454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1905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analysis shows that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Square Pharmaceuticals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maintained a stronger overall financial position due to its higher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Ratio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Gross Profit Margin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Operating Profit Margin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Net Profit Margin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and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Return on Assets (ROA)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indicating better liquidity, stronger profitability, and effective utilization of assets to generate profit.</a:t>
          </a:r>
          <a:r>
            <a:rPr lang="en-US"/>
            <a:t> </a:t>
          </a:r>
          <a:endParaRPr lang="en-US" sz="1100"/>
        </a:p>
      </xdr:txBody>
    </xdr:sp>
    <xdr:clientData/>
  </xdr:twoCellAnchor>
  <xdr:twoCellAnchor>
    <xdr:from>
      <xdr:col>1</xdr:col>
      <xdr:colOff>1325880</xdr:colOff>
      <xdr:row>1</xdr:row>
      <xdr:rowOff>259080</xdr:rowOff>
    </xdr:from>
    <xdr:to>
      <xdr:col>5</xdr:col>
      <xdr:colOff>160020</xdr:colOff>
      <xdr:row>2</xdr:row>
      <xdr:rowOff>1889760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B95CDB4-0F05-4508-8EF2-547D1ED78B61}"/>
            </a:ext>
          </a:extLst>
        </xdr:cNvPr>
        <xdr:cNvSpPr/>
      </xdr:nvSpPr>
      <xdr:spPr>
        <a:xfrm>
          <a:off x="2956560" y="525780"/>
          <a:ext cx="2606040" cy="1897380"/>
        </a:xfrm>
        <a:prstGeom prst="roundRect">
          <a:avLst>
            <a:gd name="adj" fmla="val 4727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1287780</xdr:colOff>
      <xdr:row>2</xdr:row>
      <xdr:rowOff>7620</xdr:rowOff>
    </xdr:from>
    <xdr:to>
      <xdr:col>5</xdr:col>
      <xdr:colOff>15240</xdr:colOff>
      <xdr:row>13</xdr:row>
      <xdr:rowOff>45720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74B85DE-A01E-4AC8-91BC-F74039530CDD}"/>
            </a:ext>
          </a:extLst>
        </xdr:cNvPr>
        <xdr:cNvSpPr txBox="1"/>
      </xdr:nvSpPr>
      <xdr:spPr>
        <a:xfrm>
          <a:off x="2918460" y="541020"/>
          <a:ext cx="2499360" cy="204978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However,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Ibn Sina Pharmaceuticals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achieved a higher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Return on Equity (ROE)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Asset Turnover Ratio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reflecting better returns to shareholders and more efficient use of assets to generate revenue. However, its significantly higher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Debt Ratio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Debt-to-Equity Ratio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and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Equity Multiplier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indicate greater dependence on debt financing, resulting in higher financial risk.</a:t>
          </a:r>
          <a:r>
            <a:rPr lang="en-US"/>
            <a:t> </a:t>
          </a:r>
          <a:endParaRPr lang="en-US" sz="1100"/>
        </a:p>
      </xdr:txBody>
    </xdr:sp>
    <xdr:clientData/>
  </xdr:twoCellAnchor>
  <xdr:twoCellAnchor>
    <xdr:from>
      <xdr:col>0</xdr:col>
      <xdr:colOff>68580</xdr:colOff>
      <xdr:row>13</xdr:row>
      <xdr:rowOff>114300</xdr:rowOff>
    </xdr:from>
    <xdr:to>
      <xdr:col>5</xdr:col>
      <xdr:colOff>83820</xdr:colOff>
      <xdr:row>17</xdr:row>
      <xdr:rowOff>7620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C147ADC-9BDE-4716-A79D-A8B6E3902D76}"/>
            </a:ext>
          </a:extLst>
        </xdr:cNvPr>
        <xdr:cNvSpPr txBox="1"/>
      </xdr:nvSpPr>
      <xdr:spPr>
        <a:xfrm>
          <a:off x="68580" y="2659380"/>
          <a:ext cx="5417820" cy="62484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Overall, Square Pharmaceuticals demonstrated a more balanced financial position with stronger liquidity, profitability, and lower financial leverage, while Ibn Sina showed better efficiency and shareholder returns but operated with a higher level of financial risk.</a:t>
          </a:r>
          <a:endParaRPr lang="en-US" sz="11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25CF9E-40E8-435A-8F5D-BD2576745696}" name="Table1" displayName="Table1" ref="A2:C20" totalsRowShown="0" headerRowDxfId="10">
  <autoFilter ref="A2:C20" xr:uid="{2825CF9E-40E8-435A-8F5D-BD2576745696}"/>
  <tableColumns count="3">
    <tableColumn id="1" xr3:uid="{85754DDE-58CD-41C6-AC85-06253A9B5645}" name="Square Pharmaceuticals " dataDxfId="9"/>
    <tableColumn id="2" xr3:uid="{3821DCAE-A94A-4382-A614-7E1A77275F8D}" name="Column1" dataDxfId="8"/>
    <tableColumn id="3" xr3:uid="{557DBF2C-1228-4854-A792-838D01F07EE3}" name="Column2" dataDxfId="7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16C346-FEF5-49EE-9E00-5002C4755BA0}" name="Table6" displayName="Table6" ref="F2:H20" totalsRowShown="0">
  <autoFilter ref="F2:H20" xr:uid="{0116C346-FEF5-49EE-9E00-5002C4755BA0}"/>
  <tableColumns count="3">
    <tableColumn id="1" xr3:uid="{4BFE3AB9-9AAB-4BBE-983D-84AD7691D693}" name="Ibna Sina Pharmaceuticals"/>
    <tableColumn id="2" xr3:uid="{7075A521-A661-4651-9E9A-404C36DACA34}" name="Column1" dataDxfId="6"/>
    <tableColumn id="3" xr3:uid="{605FC318-E0B2-476D-B423-CC1207CEC547}" name="Column2" dataDxfId="5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EF2B948-4603-4BD5-9353-3D0E4AE413A5}" name="Table7" displayName="Table7" ref="A2:D14" totalsRowShown="0" headerRowDxfId="19">
  <autoFilter ref="A2:D14" xr:uid="{1EF2B948-4603-4BD5-9353-3D0E4AE413A5}"/>
  <tableColumns count="4">
    <tableColumn id="1" xr3:uid="{DF5660B5-2D19-4CDC-88B7-3203C73D3F20}" name="Ratio " dataDxfId="18"/>
    <tableColumn id="4" xr3:uid="{C621D0F9-34D6-476B-B2E9-F50D61AD360B}" name="Formula" dataDxfId="17"/>
    <tableColumn id="2" xr3:uid="{15E23088-8ED5-4F7C-B267-485DB3F3B9E3}" name="2024" dataDxfId="16"/>
    <tableColumn id="3" xr3:uid="{F22FFF48-8AA1-4491-8819-80F038F0FC0D}" name="2023" dataDxfId="15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97170DC-305F-48EB-B84A-CE416D57F9CB}" name="Table8" displayName="Table8" ref="G2:J14" totalsRowShown="0">
  <autoFilter ref="G2:J14" xr:uid="{B97170DC-305F-48EB-B84A-CE416D57F9CB}"/>
  <tableColumns count="4">
    <tableColumn id="1" xr3:uid="{574ED7F3-C6E7-4150-8E1F-0562B6EF7654}" name="Ratio " dataDxfId="14"/>
    <tableColumn id="4" xr3:uid="{4950830A-D26C-44A1-8C3B-9C33B2412CAB}" name="Formula" dataDxfId="13"/>
    <tableColumn id="2" xr3:uid="{F69D471B-EBA1-4F32-8EFD-7FC458F25FDF}" name="2024" dataDxfId="12"/>
    <tableColumn id="3" xr3:uid="{1BB7678A-1FB7-42CC-AAD7-222C19F40F7A}" name="2023" dataDxfId="11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09A324-6A86-4D35-8F3C-47BD1B13E64C}" name="Table4" displayName="Table4" ref="A2:E14" totalsRowShown="0">
  <autoFilter ref="A2:E14" xr:uid="{7C09A324-6A86-4D35-8F3C-47BD1B13E64C}"/>
  <tableColumns count="5">
    <tableColumn id="1" xr3:uid="{0A33A168-9443-45F3-804D-3963FEC0445D}" name="Item" dataDxfId="4"/>
    <tableColumn id="2" xr3:uid="{08E7489E-C39E-4FC6-8A88-CEE9D40B34E1}" name="Square Pharma(2023)" dataDxfId="3">
      <calculatedColumnFormula>Table7[[#This Row],[2023]]</calculatedColumnFormula>
    </tableColumn>
    <tableColumn id="3" xr3:uid="{DBBF5CF4-DB65-48E9-9D6B-5ED18A7F5DD8}" name="Square Pharma(2024)" dataDxfId="2">
      <calculatedColumnFormula>Table7[[#This Row],[2024]]</calculatedColumnFormula>
    </tableColumn>
    <tableColumn id="4" xr3:uid="{618F04B0-BF90-425A-97D6-273AF51E9947}" name="Ibna Sina Pharma(2023)" dataDxfId="1">
      <calculatedColumnFormula>Table8[[#This Row],[2023]]</calculatedColumnFormula>
    </tableColumn>
    <tableColumn id="5" xr3:uid="{E071E6AF-B810-49E7-8116-52ECE8B1AF5F}" name="Ibna Sina Pharma(2024)" dataDxfId="0">
      <calculatedColumnFormula>Table8[[#This Row],[2024]]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DFF5-9D61-44EC-82AF-B3B9E4621013}">
  <dimension ref="A1:K20"/>
  <sheetViews>
    <sheetView tabSelected="1" workbookViewId="0">
      <selection activeCell="B24" sqref="B24"/>
    </sheetView>
  </sheetViews>
  <sheetFormatPr defaultRowHeight="14.4" x14ac:dyDescent="0.3"/>
  <cols>
    <col min="1" max="1" width="29.44140625" customWidth="1"/>
    <col min="2" max="2" width="15.5546875" customWidth="1"/>
    <col min="3" max="3" width="15.21875" customWidth="1"/>
    <col min="6" max="6" width="30.33203125" customWidth="1"/>
    <col min="7" max="7" width="15.109375" customWidth="1"/>
    <col min="8" max="8" width="18.88671875" customWidth="1"/>
    <col min="9" max="9" width="15" customWidth="1"/>
    <col min="10" max="10" width="15.21875" customWidth="1"/>
    <col min="11" max="11" width="14.44140625" customWidth="1"/>
  </cols>
  <sheetData>
    <row r="1" spans="1:11" ht="18" x14ac:dyDescent="0.35">
      <c r="A1" s="50" t="s">
        <v>31</v>
      </c>
      <c r="B1" s="50"/>
      <c r="C1" s="50"/>
      <c r="F1" s="50" t="s">
        <v>24</v>
      </c>
      <c r="G1" s="50"/>
      <c r="H1" s="50"/>
    </row>
    <row r="2" spans="1:11" ht="18" x14ac:dyDescent="0.35">
      <c r="A2" s="17" t="s">
        <v>11</v>
      </c>
      <c r="B2" s="18" t="s">
        <v>9</v>
      </c>
      <c r="C2" s="18" t="s">
        <v>10</v>
      </c>
      <c r="F2" s="16" t="s">
        <v>44</v>
      </c>
      <c r="G2" t="s">
        <v>9</v>
      </c>
      <c r="H2" t="s">
        <v>10</v>
      </c>
    </row>
    <row r="3" spans="1:11" x14ac:dyDescent="0.3">
      <c r="A3" s="12" t="s">
        <v>0</v>
      </c>
      <c r="B3" s="13">
        <v>2024</v>
      </c>
      <c r="C3" s="13">
        <v>2023</v>
      </c>
      <c r="D3" s="2"/>
      <c r="F3" t="s">
        <v>0</v>
      </c>
      <c r="G3">
        <v>2024</v>
      </c>
      <c r="H3">
        <v>2023</v>
      </c>
    </row>
    <row r="4" spans="1:11" x14ac:dyDescent="0.3">
      <c r="A4" s="3" t="s">
        <v>6</v>
      </c>
      <c r="B4" s="4">
        <v>42273928338</v>
      </c>
      <c r="C4" s="4">
        <v>34585613547</v>
      </c>
      <c r="D4" s="2"/>
      <c r="F4" t="s">
        <v>6</v>
      </c>
      <c r="G4" s="4">
        <v>3888791104</v>
      </c>
      <c r="H4" s="4">
        <v>3169096180</v>
      </c>
    </row>
    <row r="5" spans="1:11" x14ac:dyDescent="0.3">
      <c r="A5" s="3" t="s">
        <v>1</v>
      </c>
      <c r="B5" s="4">
        <v>69735986410</v>
      </c>
      <c r="C5" s="4">
        <v>70169514926</v>
      </c>
      <c r="D5" s="1"/>
      <c r="F5" t="s">
        <v>12</v>
      </c>
      <c r="G5" s="4">
        <v>2620323446</v>
      </c>
      <c r="H5" s="4">
        <v>1836444762</v>
      </c>
    </row>
    <row r="6" spans="1:11" x14ac:dyDescent="0.3">
      <c r="A6" s="11" t="s">
        <v>2</v>
      </c>
      <c r="B6" s="10">
        <f>SUM(B4,B5)</f>
        <v>112009914748</v>
      </c>
      <c r="C6" s="10">
        <f>SUM(C4,C5)</f>
        <v>104755128473</v>
      </c>
      <c r="D6" s="1"/>
      <c r="F6" s="14" t="s">
        <v>13</v>
      </c>
      <c r="G6" s="8">
        <f>SUM(G4:G5)</f>
        <v>6509114550</v>
      </c>
      <c r="H6" s="8">
        <f>SUM(H4:H5)</f>
        <v>5005540942</v>
      </c>
    </row>
    <row r="7" spans="1:11" ht="28.8" customHeight="1" x14ac:dyDescent="0.3">
      <c r="A7" s="3" t="s">
        <v>3</v>
      </c>
      <c r="B7" s="4">
        <v>5589045579</v>
      </c>
      <c r="C7" s="4">
        <v>3212077810</v>
      </c>
      <c r="D7" s="1"/>
      <c r="F7" t="s">
        <v>3</v>
      </c>
      <c r="G7" s="4">
        <v>2318099470</v>
      </c>
      <c r="H7" s="4">
        <v>1461481620</v>
      </c>
    </row>
    <row r="8" spans="1:11" x14ac:dyDescent="0.3">
      <c r="A8" s="3" t="s">
        <v>7</v>
      </c>
      <c r="B8" s="4">
        <v>625749549</v>
      </c>
      <c r="C8" s="4">
        <v>1026086605</v>
      </c>
      <c r="D8" s="1"/>
      <c r="F8" t="s">
        <v>14</v>
      </c>
      <c r="G8" s="4">
        <v>657654587</v>
      </c>
      <c r="H8" s="4">
        <v>488243171</v>
      </c>
    </row>
    <row r="9" spans="1:11" ht="28.8" customHeight="1" x14ac:dyDescent="0.3">
      <c r="A9" s="3" t="s">
        <v>4</v>
      </c>
      <c r="B9" s="5">
        <f>SUM(B7:B8)</f>
        <v>6214795128</v>
      </c>
      <c r="C9" s="5">
        <f>SUM(C7:C8)</f>
        <v>4238164415</v>
      </c>
      <c r="D9" s="1"/>
      <c r="F9" t="s">
        <v>4</v>
      </c>
      <c r="G9" s="4">
        <f>SUM(G7:G8)</f>
        <v>2975754057</v>
      </c>
      <c r="H9" s="4">
        <f>SUM(H7:H8)</f>
        <v>1949724791</v>
      </c>
    </row>
    <row r="10" spans="1:11" x14ac:dyDescent="0.3">
      <c r="A10" s="3" t="s">
        <v>5</v>
      </c>
      <c r="B10" s="4">
        <v>105795119620</v>
      </c>
      <c r="C10" s="4">
        <v>100516964058</v>
      </c>
      <c r="D10" s="1"/>
      <c r="F10" t="s">
        <v>5</v>
      </c>
      <c r="G10" s="4">
        <v>3533360493</v>
      </c>
      <c r="H10" s="4">
        <v>3055816151</v>
      </c>
    </row>
    <row r="11" spans="1:11" x14ac:dyDescent="0.3">
      <c r="A11" s="9" t="s">
        <v>8</v>
      </c>
      <c r="B11" s="8">
        <f>SUM(B9:B10)</f>
        <v>112009914748</v>
      </c>
      <c r="C11" s="8">
        <f>SUM(C9:C10)</f>
        <v>104755128473</v>
      </c>
      <c r="F11" s="14" t="s">
        <v>15</v>
      </c>
      <c r="G11" s="8">
        <f>SUM(G9:G10)</f>
        <v>6509114550</v>
      </c>
      <c r="H11" s="8">
        <f>SUM(H9:H10)</f>
        <v>5005540942</v>
      </c>
    </row>
    <row r="12" spans="1:11" x14ac:dyDescent="0.3">
      <c r="A12" s="3" t="s">
        <v>23</v>
      </c>
      <c r="B12" s="4">
        <v>52305603356</v>
      </c>
      <c r="C12" s="4">
        <v>50079192249</v>
      </c>
      <c r="F12" t="s">
        <v>18</v>
      </c>
      <c r="G12" s="4">
        <v>11370922344</v>
      </c>
      <c r="H12" s="4">
        <v>9125331307</v>
      </c>
    </row>
    <row r="13" spans="1:11" x14ac:dyDescent="0.3">
      <c r="A13" s="3" t="s">
        <v>27</v>
      </c>
      <c r="B13" s="4">
        <v>59794584816</v>
      </c>
      <c r="C13" s="4">
        <v>58419084978</v>
      </c>
      <c r="F13" s="15" t="s">
        <v>19</v>
      </c>
      <c r="G13" s="8">
        <v>4531507148</v>
      </c>
      <c r="H13" s="8">
        <v>3871099631</v>
      </c>
      <c r="K13" t="s">
        <v>45</v>
      </c>
    </row>
    <row r="14" spans="1:11" x14ac:dyDescent="0.3">
      <c r="A14" s="3" t="s">
        <v>19</v>
      </c>
      <c r="B14" s="4">
        <v>27267821084</v>
      </c>
      <c r="C14" s="4">
        <v>28034308091</v>
      </c>
      <c r="F14" t="s">
        <v>22</v>
      </c>
      <c r="G14" s="4">
        <v>960060692</v>
      </c>
      <c r="H14" s="4">
        <v>860364720</v>
      </c>
    </row>
    <row r="15" spans="1:11" x14ac:dyDescent="0.3">
      <c r="A15" s="3" t="s">
        <v>28</v>
      </c>
      <c r="B15" s="4">
        <v>15960600763</v>
      </c>
      <c r="C15" s="4">
        <v>17874695253</v>
      </c>
      <c r="F15" t="s">
        <v>20</v>
      </c>
      <c r="G15" s="4">
        <v>894698822</v>
      </c>
      <c r="H15" s="4">
        <v>804731983</v>
      </c>
    </row>
    <row r="16" spans="1:11" x14ac:dyDescent="0.3">
      <c r="A16" s="3" t="s">
        <v>29</v>
      </c>
      <c r="B16" s="4">
        <v>19887843068</v>
      </c>
      <c r="C16" s="4">
        <v>21097122423</v>
      </c>
      <c r="F16" s="15" t="s">
        <v>21</v>
      </c>
      <c r="G16" s="8">
        <v>671350473</v>
      </c>
      <c r="H16" s="8">
        <v>605808719</v>
      </c>
    </row>
    <row r="17" spans="1:8" x14ac:dyDescent="0.3">
      <c r="A17" s="3" t="s">
        <v>30</v>
      </c>
      <c r="B17" s="4">
        <v>15591371906</v>
      </c>
      <c r="C17" s="4">
        <v>16470227513</v>
      </c>
      <c r="F17" t="s">
        <v>23</v>
      </c>
      <c r="G17" s="4">
        <v>365229893</v>
      </c>
      <c r="H17" s="4">
        <v>365229893</v>
      </c>
    </row>
    <row r="18" spans="1:8" x14ac:dyDescent="0.3">
      <c r="A18" s="3" t="s">
        <v>25</v>
      </c>
      <c r="B18" s="4">
        <v>27943</v>
      </c>
      <c r="C18" s="4">
        <v>21966</v>
      </c>
      <c r="F18" t="s">
        <v>26</v>
      </c>
      <c r="G18" s="4">
        <v>53580520</v>
      </c>
      <c r="H18" s="4">
        <v>44431461</v>
      </c>
    </row>
    <row r="19" spans="1:8" ht="28.8" x14ac:dyDescent="0.3">
      <c r="A19" s="22" t="s">
        <v>47</v>
      </c>
      <c r="B19" s="23">
        <v>8864510100</v>
      </c>
      <c r="C19" s="23">
        <v>8864510100</v>
      </c>
      <c r="F19" s="24" t="s">
        <v>46</v>
      </c>
      <c r="G19" s="23">
        <v>312436270</v>
      </c>
      <c r="H19" s="23">
        <v>312436270</v>
      </c>
    </row>
    <row r="20" spans="1:8" ht="28.8" x14ac:dyDescent="0.3">
      <c r="A20" s="3" t="s">
        <v>64</v>
      </c>
      <c r="B20" s="4">
        <v>886451010</v>
      </c>
      <c r="C20" s="4">
        <v>886451010</v>
      </c>
      <c r="F20" t="s">
        <v>65</v>
      </c>
      <c r="G20" s="4">
        <v>31243627</v>
      </c>
      <c r="H20" s="4">
        <v>31243627</v>
      </c>
    </row>
  </sheetData>
  <mergeCells count="2">
    <mergeCell ref="A1:C1"/>
    <mergeCell ref="F1:H1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E2F4-F05C-4020-BF95-DA687FC49888}">
  <dimension ref="A1:O14"/>
  <sheetViews>
    <sheetView zoomScaleNormal="100" workbookViewId="0">
      <selection activeCell="I12" sqref="I12"/>
    </sheetView>
  </sheetViews>
  <sheetFormatPr defaultRowHeight="14.4" x14ac:dyDescent="0.3"/>
  <cols>
    <col min="1" max="2" width="32.5546875" customWidth="1"/>
    <col min="3" max="3" width="11.5546875" bestFit="1" customWidth="1"/>
    <col min="7" max="8" width="20.33203125" customWidth="1"/>
    <col min="9" max="9" width="16.5546875" customWidth="1"/>
    <col min="10" max="10" width="12.21875" customWidth="1"/>
  </cols>
  <sheetData>
    <row r="1" spans="1:15" ht="18" x14ac:dyDescent="0.35">
      <c r="A1" s="49" t="s">
        <v>32</v>
      </c>
      <c r="B1" s="49"/>
      <c r="C1" s="49"/>
      <c r="D1" s="49"/>
      <c r="G1" s="49" t="s">
        <v>43</v>
      </c>
      <c r="H1" s="49"/>
      <c r="I1" s="49"/>
      <c r="J1" s="49"/>
    </row>
    <row r="2" spans="1:15" x14ac:dyDescent="0.3">
      <c r="A2" s="6" t="s">
        <v>42</v>
      </c>
      <c r="B2" s="6" t="s">
        <v>53</v>
      </c>
      <c r="C2" s="6" t="s">
        <v>16</v>
      </c>
      <c r="D2" s="6" t="s">
        <v>17</v>
      </c>
      <c r="E2" s="6"/>
      <c r="G2" t="s">
        <v>42</v>
      </c>
      <c r="H2" t="s">
        <v>53</v>
      </c>
      <c r="I2" t="s">
        <v>16</v>
      </c>
      <c r="J2" t="s">
        <v>17</v>
      </c>
      <c r="O2" s="30"/>
    </row>
    <row r="3" spans="1:15" ht="28.8" x14ac:dyDescent="0.3">
      <c r="A3" s="7" t="s">
        <v>33</v>
      </c>
      <c r="B3" s="7" t="s">
        <v>54</v>
      </c>
      <c r="C3" s="7">
        <f>'Raw Data'!B5/'Raw Data'!B7</f>
        <v>12.477262069935966</v>
      </c>
      <c r="D3">
        <f>'Raw Data'!C5/'Raw Data'!C7</f>
        <v>21.845521521161405</v>
      </c>
      <c r="G3" s="21" t="s">
        <v>33</v>
      </c>
      <c r="H3" s="7" t="s">
        <v>54</v>
      </c>
      <c r="I3">
        <f>'Raw Data'!G5/'Raw Data'!G7</f>
        <v>1.1303757582067866</v>
      </c>
      <c r="J3">
        <f>'Raw Data'!H5/'Raw Data'!H7</f>
        <v>1.2565637069045041</v>
      </c>
    </row>
    <row r="4" spans="1:15" x14ac:dyDescent="0.3">
      <c r="A4" s="7" t="s">
        <v>34</v>
      </c>
      <c r="B4" s="7" t="s">
        <v>55</v>
      </c>
      <c r="C4" s="19">
        <f>'Raw Data'!B14/'Raw Data'!B13</f>
        <v>0.45602492546622048</v>
      </c>
      <c r="D4" s="20">
        <f>'Raw Data'!C14/'Raw Data'!C13</f>
        <v>0.47988269760742436</v>
      </c>
      <c r="G4" s="21" t="s">
        <v>34</v>
      </c>
      <c r="H4" s="7" t="s">
        <v>55</v>
      </c>
      <c r="I4" s="20">
        <f>'Raw Data'!G13/'Raw Data'!G12</f>
        <v>0.39851711329214229</v>
      </c>
      <c r="J4" s="20">
        <f>'Raw Data'!H13/'Raw Data'!H12</f>
        <v>0.4242146943235362</v>
      </c>
    </row>
    <row r="5" spans="1:15" ht="28.8" x14ac:dyDescent="0.3">
      <c r="A5" s="7" t="s">
        <v>35</v>
      </c>
      <c r="B5" s="7" t="s">
        <v>56</v>
      </c>
      <c r="C5" s="19">
        <f>'Raw Data'!B15/'Raw Data'!B13</f>
        <v>0.26692384957791726</v>
      </c>
      <c r="D5" s="20">
        <f>'Raw Data'!C15/'Raw Data'!C13</f>
        <v>0.30597355743814575</v>
      </c>
      <c r="G5" s="21" t="s">
        <v>35</v>
      </c>
      <c r="H5" s="7" t="s">
        <v>56</v>
      </c>
      <c r="I5" s="20">
        <f>'Raw Data'!G14/'Raw Data'!G12</f>
        <v>8.443120645411735E-2</v>
      </c>
      <c r="J5" s="20">
        <f>'Raw Data'!H14/'Raw Data'!H12</f>
        <v>9.4283121462123587E-2</v>
      </c>
    </row>
    <row r="6" spans="1:15" x14ac:dyDescent="0.3">
      <c r="A6" s="7" t="s">
        <v>36</v>
      </c>
      <c r="B6" s="7" t="s">
        <v>57</v>
      </c>
      <c r="C6" s="48">
        <f>'Raw Data'!B17/'Raw Data'!B13</f>
        <v>0.2607488948033973</v>
      </c>
      <c r="D6" s="47">
        <f>'Raw Data'!C16/'Raw Data'!C13</f>
        <v>0.36113407854547791</v>
      </c>
      <c r="G6" s="21" t="s">
        <v>36</v>
      </c>
      <c r="H6" s="7" t="s">
        <v>57</v>
      </c>
      <c r="I6" s="47">
        <f>'Raw Data'!G16/'Raw Data'!G12</f>
        <v>5.9040986534768303E-2</v>
      </c>
      <c r="J6" s="47">
        <f>'Raw Data'!H16/'Raw Data'!H12</f>
        <v>6.63875862277227E-2</v>
      </c>
    </row>
    <row r="7" spans="1:15" ht="28.8" x14ac:dyDescent="0.3">
      <c r="A7" s="7" t="s">
        <v>37</v>
      </c>
      <c r="B7" s="7" t="s">
        <v>58</v>
      </c>
      <c r="C7" s="48">
        <f>'Raw Data'!B9/'Raw Data'!B6</f>
        <v>5.5484330489689697E-2</v>
      </c>
      <c r="D7" s="47">
        <f>'Raw Data'!C9/'Raw Data'!C6</f>
        <v>4.0457822703089528E-2</v>
      </c>
      <c r="G7" s="21" t="s">
        <v>37</v>
      </c>
      <c r="H7" s="7" t="s">
        <v>58</v>
      </c>
      <c r="I7" s="47">
        <f>'Raw Data'!G9/'Raw Data'!G6</f>
        <v>0.45716725894768589</v>
      </c>
      <c r="J7" s="47">
        <f>'Raw Data'!H9/'Raw Data'!H6</f>
        <v>0.38951330407477863</v>
      </c>
    </row>
    <row r="8" spans="1:15" ht="28.8" x14ac:dyDescent="0.3">
      <c r="A8" s="7" t="s">
        <v>38</v>
      </c>
      <c r="B8" s="7" t="s">
        <v>59</v>
      </c>
      <c r="C8" s="35">
        <f>'Raw Data'!B9/'Raw Data'!B10</f>
        <v>5.8743684494356643E-2</v>
      </c>
      <c r="D8" s="36">
        <f>'Raw Data'!C9/'Raw Data'!C10</f>
        <v>4.2163673114465602E-2</v>
      </c>
      <c r="G8" s="21" t="s">
        <v>38</v>
      </c>
      <c r="H8" s="7" t="s">
        <v>59</v>
      </c>
      <c r="I8" s="20">
        <f>'Raw Data'!G9/'Raw Data'!G10</f>
        <v>0.84218807078850755</v>
      </c>
      <c r="J8" s="20">
        <f>'Raw Data'!H9/'Raw Data'!H10</f>
        <v>0.63803733426893583</v>
      </c>
    </row>
    <row r="9" spans="1:15" x14ac:dyDescent="0.3">
      <c r="A9" s="7" t="s">
        <v>39</v>
      </c>
      <c r="B9" s="7" t="s">
        <v>60</v>
      </c>
      <c r="C9" s="7">
        <f>'Raw Data'!B13/'Raw Data'!B6</f>
        <v>0.53383296425611881</v>
      </c>
      <c r="D9">
        <f>'Raw Data'!C13/'Raw Data'!C6</f>
        <v>0.55767279205864528</v>
      </c>
      <c r="G9" s="21" t="s">
        <v>39</v>
      </c>
      <c r="H9" s="7" t="s">
        <v>60</v>
      </c>
      <c r="I9">
        <f>'Raw Data'!G12/'Raw Data'!G6</f>
        <v>1.7469230655957653</v>
      </c>
      <c r="J9">
        <f>'Raw Data'!H12/'Raw Data'!H6</f>
        <v>1.8230459829889849</v>
      </c>
    </row>
    <row r="10" spans="1:15" ht="28.8" x14ac:dyDescent="0.3">
      <c r="A10" s="7" t="s">
        <v>40</v>
      </c>
      <c r="B10" s="7" t="s">
        <v>62</v>
      </c>
      <c r="C10" s="19">
        <f>'Raw Data'!B17/'Raw Data'!B10</f>
        <v>0.14737326222610117</v>
      </c>
      <c r="D10" s="20">
        <f>'Raw Data'!C17/'Raw Data'!C10</f>
        <v>0.16385520262526432</v>
      </c>
      <c r="G10" s="21" t="s">
        <v>40</v>
      </c>
      <c r="H10" s="7" t="s">
        <v>62</v>
      </c>
      <c r="I10" s="20">
        <f>'Raw Data'!G16/Table6[[#This Row],[Column1]]</f>
        <v>0.19000339035035449</v>
      </c>
      <c r="J10" s="20">
        <f>'Raw Data'!H16/Table6[[#This Row],[Column2]]</f>
        <v>0.19824776395718446</v>
      </c>
    </row>
    <row r="11" spans="1:15" ht="28.8" x14ac:dyDescent="0.3">
      <c r="A11" s="7" t="s">
        <v>41</v>
      </c>
      <c r="B11" s="7" t="s">
        <v>61</v>
      </c>
      <c r="C11" s="19">
        <f>'Raw Data'!B17/'Raw Data'!B6</f>
        <v>0.13919635543940445</v>
      </c>
      <c r="D11" s="20">
        <f>'Raw Data'!C17/'Raw Data'!C6</f>
        <v>0.15722597788847256</v>
      </c>
      <c r="G11" s="21" t="s">
        <v>41</v>
      </c>
      <c r="H11" s="7" t="s">
        <v>61</v>
      </c>
      <c r="I11" s="20">
        <f>'Raw Data'!G16/'Raw Data'!G6</f>
        <v>0.10314006119311574</v>
      </c>
      <c r="J11" s="20">
        <f>'Raw Data'!H16/'Raw Data'!H6</f>
        <v>0.12102762239278474</v>
      </c>
    </row>
    <row r="12" spans="1:15" ht="43.2" x14ac:dyDescent="0.3">
      <c r="A12" s="7" t="s">
        <v>48</v>
      </c>
      <c r="B12" s="7" t="s">
        <v>66</v>
      </c>
      <c r="C12" s="28">
        <f>'Raw Data'!B17/'Raw Data'!B20</f>
        <v>17.588531943801385</v>
      </c>
      <c r="D12" s="29">
        <f>'Raw Data'!C17/'Raw Data'!C20</f>
        <v>18.579963615812225</v>
      </c>
      <c r="G12" s="25" t="s">
        <v>49</v>
      </c>
      <c r="H12" s="7" t="s">
        <v>66</v>
      </c>
      <c r="I12" s="27">
        <f>'Raw Data'!G16/'Raw Data'!G20</f>
        <v>21.487597230628825</v>
      </c>
      <c r="J12" s="27">
        <f>'Raw Data'!H16/'Raw Data'!H20</f>
        <v>19.38983329304245</v>
      </c>
    </row>
    <row r="13" spans="1:15" ht="28.8" x14ac:dyDescent="0.3">
      <c r="A13" s="31" t="s">
        <v>50</v>
      </c>
      <c r="B13" s="7" t="s">
        <v>67</v>
      </c>
      <c r="C13" s="28">
        <f>'Raw Data'!B6/'Raw Data'!B10</f>
        <v>1.0587436844943567</v>
      </c>
      <c r="D13" s="29">
        <f>'Raw Data'!C6/'Raw Data'!C10</f>
        <v>1.0421636731144657</v>
      </c>
      <c r="G13" s="25" t="s">
        <v>50</v>
      </c>
      <c r="H13" s="7" t="s">
        <v>67</v>
      </c>
      <c r="I13" s="27">
        <f>'Raw Data'!G6/'Raw Data'!G10</f>
        <v>1.8421880707885077</v>
      </c>
      <c r="J13" s="27">
        <f>'Raw Data'!H6/'Raw Data'!H10</f>
        <v>1.6380373342689358</v>
      </c>
    </row>
    <row r="14" spans="1:15" ht="43.2" x14ac:dyDescent="0.3">
      <c r="A14" s="7" t="s">
        <v>51</v>
      </c>
      <c r="B14" s="7" t="s">
        <v>63</v>
      </c>
      <c r="C14" s="19">
        <f>C6*C9*C13</f>
        <v>0.1473732622261012</v>
      </c>
      <c r="D14" s="20">
        <f>D6*D9*D13</f>
        <v>0.20988618807494624</v>
      </c>
      <c r="G14" s="25" t="s">
        <v>52</v>
      </c>
      <c r="H14" s="7" t="s">
        <v>63</v>
      </c>
      <c r="I14" s="26">
        <f>I6*I9*I13</f>
        <v>0.19000339035035452</v>
      </c>
      <c r="J14" s="26">
        <f>J6*J9*J13</f>
        <v>0.19824776395718446</v>
      </c>
    </row>
  </sheetData>
  <mergeCells count="2">
    <mergeCell ref="A1:D1"/>
    <mergeCell ref="G1:J1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E919-F627-43D9-AE47-6886F1DC86F5}">
  <dimension ref="A1:L14"/>
  <sheetViews>
    <sheetView zoomScale="107" workbookViewId="0">
      <selection activeCell="H12" sqref="H12:L13"/>
    </sheetView>
  </sheetViews>
  <sheetFormatPr defaultRowHeight="14.4" x14ac:dyDescent="0.3"/>
  <cols>
    <col min="1" max="1" width="21" customWidth="1"/>
    <col min="2" max="3" width="21.109375" customWidth="1"/>
    <col min="4" max="5" width="23" customWidth="1"/>
    <col min="8" max="8" width="12.21875" customWidth="1"/>
    <col min="9" max="9" width="20.5546875" customWidth="1"/>
    <col min="10" max="10" width="19.88671875" customWidth="1"/>
    <col min="11" max="11" width="20.109375" customWidth="1"/>
    <col min="12" max="12" width="23" customWidth="1"/>
  </cols>
  <sheetData>
    <row r="1" spans="1:12" ht="18" x14ac:dyDescent="0.35">
      <c r="A1" s="50" t="s">
        <v>68</v>
      </c>
      <c r="B1" s="50"/>
      <c r="C1" s="50"/>
      <c r="D1" s="50"/>
      <c r="E1" s="50"/>
    </row>
    <row r="2" spans="1:12" x14ac:dyDescent="0.3">
      <c r="A2" t="s">
        <v>0</v>
      </c>
      <c r="B2" t="s">
        <v>69</v>
      </c>
      <c r="C2" t="s">
        <v>70</v>
      </c>
      <c r="D2" t="s">
        <v>71</v>
      </c>
      <c r="E2" t="s">
        <v>72</v>
      </c>
    </row>
    <row r="3" spans="1:12" ht="28.8" x14ac:dyDescent="0.3">
      <c r="A3" s="32" t="s">
        <v>33</v>
      </c>
      <c r="B3">
        <f>Table7[[#This Row],[2023]]</f>
        <v>21.845521521161405</v>
      </c>
      <c r="C3">
        <f>Table7[[#This Row],[2024]]</f>
        <v>12.477262069935966</v>
      </c>
      <c r="D3">
        <f>Table8[[#This Row],[2023]]</f>
        <v>1.2565637069045041</v>
      </c>
      <c r="E3">
        <f>Table8[[#This Row],[2024]]</f>
        <v>1.1303757582067866</v>
      </c>
    </row>
    <row r="4" spans="1:12" ht="43.2" x14ac:dyDescent="0.3">
      <c r="A4" s="21" t="s">
        <v>34</v>
      </c>
      <c r="B4" s="30">
        <f>Table7[[#This Row],[2023]]</f>
        <v>0.47988269760742436</v>
      </c>
      <c r="C4" s="30">
        <f>Table7[[#This Row],[2024]]</f>
        <v>0.45602492546622048</v>
      </c>
      <c r="D4" s="30">
        <f>Table8[[#This Row],[2023]]</f>
        <v>0.4242146943235362</v>
      </c>
      <c r="E4" s="30">
        <f>Table8[[#This Row],[2024]]</f>
        <v>0.39851711329214229</v>
      </c>
    </row>
    <row r="5" spans="1:12" x14ac:dyDescent="0.3">
      <c r="A5" s="32" t="s">
        <v>35</v>
      </c>
      <c r="B5" s="30">
        <f>Table7[[#This Row],[2023]]</f>
        <v>0.30597355743814575</v>
      </c>
      <c r="C5" s="30">
        <f>Table7[[#This Row],[2024]]</f>
        <v>0.26692384957791726</v>
      </c>
      <c r="D5" s="30">
        <f>Table8[[#This Row],[2023]]</f>
        <v>9.4283121462123587E-2</v>
      </c>
      <c r="E5" s="30">
        <f>Table8[[#This Row],[2024]]</f>
        <v>8.443120645411735E-2</v>
      </c>
      <c r="H5" s="38" t="s">
        <v>0</v>
      </c>
      <c r="I5" s="39" t="s">
        <v>69</v>
      </c>
      <c r="J5" s="39" t="s">
        <v>71</v>
      </c>
      <c r="K5" s="39" t="s">
        <v>70</v>
      </c>
      <c r="L5" s="40" t="s">
        <v>72</v>
      </c>
    </row>
    <row r="6" spans="1:12" x14ac:dyDescent="0.3">
      <c r="A6" s="21" t="s">
        <v>36</v>
      </c>
      <c r="B6" s="30">
        <f>Table7[[#This Row],[2023]]</f>
        <v>0.36113407854547791</v>
      </c>
      <c r="C6" s="30">
        <f>Table7[[#This Row],[2024]]</f>
        <v>0.2607488948033973</v>
      </c>
      <c r="D6" s="30">
        <f>Table8[[#This Row],[2023]]</f>
        <v>6.63875862277227E-2</v>
      </c>
      <c r="E6" s="30">
        <f>Table8[[#This Row],[2024]]</f>
        <v>5.9040986534768303E-2</v>
      </c>
      <c r="H6" s="21"/>
      <c r="I6" s="41"/>
      <c r="J6" s="41"/>
      <c r="K6" s="41"/>
      <c r="L6" s="42"/>
    </row>
    <row r="7" spans="1:12" x14ac:dyDescent="0.3">
      <c r="A7" s="32" t="s">
        <v>37</v>
      </c>
      <c r="B7" s="30">
        <f>Table7[[#This Row],[2023]]</f>
        <v>4.0457822703089528E-2</v>
      </c>
      <c r="C7" s="30">
        <f>Table7[[#This Row],[2024]]</f>
        <v>5.5484330489689697E-2</v>
      </c>
      <c r="D7" s="30">
        <f>Table8[[#This Row],[2023]]</f>
        <v>0.38951330407477863</v>
      </c>
      <c r="E7" s="30">
        <f>Table8[[#This Row],[2024]]</f>
        <v>0.45716725894768589</v>
      </c>
      <c r="H7" s="32" t="s">
        <v>37</v>
      </c>
      <c r="I7" s="43">
        <f>Table7[[#This Row],[2023]]</f>
        <v>4.0457822703089528E-2</v>
      </c>
      <c r="J7" s="43">
        <f>Table8[[#This Row],[2023]]</f>
        <v>0.38951330407477863</v>
      </c>
      <c r="K7" s="43">
        <f>Table7[[#This Row],[2024]]</f>
        <v>5.5484330489689697E-2</v>
      </c>
      <c r="L7" s="44">
        <v>0.46</v>
      </c>
    </row>
    <row r="8" spans="1:12" x14ac:dyDescent="0.3">
      <c r="A8" s="21" t="s">
        <v>38</v>
      </c>
      <c r="B8" s="37">
        <f>Table7[[#This Row],[2023]]</f>
        <v>4.2163673114465602E-2</v>
      </c>
      <c r="C8" s="37">
        <f>Table7[[#This Row],[2024]]</f>
        <v>5.8743684494356643E-2</v>
      </c>
      <c r="D8" s="30">
        <f>Table8[[#This Row],[2023]]</f>
        <v>0.63803733426893583</v>
      </c>
      <c r="E8" s="30">
        <f>Table8[[#This Row],[2024]]</f>
        <v>0.84218807078850755</v>
      </c>
    </row>
    <row r="9" spans="1:12" x14ac:dyDescent="0.3">
      <c r="A9" s="32" t="s">
        <v>39</v>
      </c>
      <c r="B9" s="34">
        <f>Table7[[#This Row],[2023]]</f>
        <v>0.55767279205864528</v>
      </c>
      <c r="C9" s="34">
        <f>Table7[[#This Row],[2024]]</f>
        <v>0.53383296425611881</v>
      </c>
      <c r="D9" s="34">
        <f>Table8[[#This Row],[2023]]</f>
        <v>1.8230459829889849</v>
      </c>
      <c r="E9" s="34">
        <f>Table8[[#This Row],[2024]]</f>
        <v>1.7469230655957653</v>
      </c>
    </row>
    <row r="10" spans="1:12" ht="28.8" x14ac:dyDescent="0.3">
      <c r="A10" s="21" t="s">
        <v>40</v>
      </c>
      <c r="B10" s="30">
        <f>Table7[[#This Row],[2023]]</f>
        <v>0.16385520262526432</v>
      </c>
      <c r="C10" s="30">
        <f>Table7[[#This Row],[2024]]</f>
        <v>0.14737326222610117</v>
      </c>
      <c r="D10" s="30">
        <f>Table8[[#This Row],[2023]]</f>
        <v>0.19824776395718446</v>
      </c>
      <c r="E10" s="30">
        <f>Table8[[#This Row],[2024]]</f>
        <v>0.19000339035035449</v>
      </c>
    </row>
    <row r="11" spans="1:12" ht="28.8" x14ac:dyDescent="0.3">
      <c r="A11" s="32" t="s">
        <v>41</v>
      </c>
      <c r="B11" s="30">
        <f>Table7[[#This Row],[2023]]</f>
        <v>0.15722597788847256</v>
      </c>
      <c r="C11" s="30">
        <f>Table7[[#This Row],[2024]]</f>
        <v>0.13919635543940445</v>
      </c>
      <c r="D11" s="30">
        <f>Table8[[#This Row],[2023]]</f>
        <v>0.12102762239278474</v>
      </c>
      <c r="E11" s="30">
        <f>Table8[[#This Row],[2024]]</f>
        <v>0.10314006119311574</v>
      </c>
    </row>
    <row r="12" spans="1:12" x14ac:dyDescent="0.3">
      <c r="A12" s="21" t="s">
        <v>48</v>
      </c>
      <c r="B12" s="34">
        <f>Table7[[#This Row],[2023]]</f>
        <v>18.579963615812225</v>
      </c>
      <c r="C12" s="34">
        <f>Table7[[#This Row],[2024]]</f>
        <v>17.588531943801385</v>
      </c>
      <c r="D12" s="34">
        <f>Table8[[#This Row],[2023]]</f>
        <v>19.38983329304245</v>
      </c>
      <c r="E12" s="34">
        <f>Table8[[#This Row],[2024]]</f>
        <v>21.487597230628825</v>
      </c>
      <c r="H12" s="38" t="s">
        <v>0</v>
      </c>
      <c r="I12" s="39" t="s">
        <v>69</v>
      </c>
      <c r="J12" s="39" t="s">
        <v>70</v>
      </c>
      <c r="K12" s="39" t="s">
        <v>71</v>
      </c>
      <c r="L12" s="40" t="s">
        <v>72</v>
      </c>
    </row>
    <row r="13" spans="1:12" ht="43.2" x14ac:dyDescent="0.3">
      <c r="A13" s="33" t="s">
        <v>50</v>
      </c>
      <c r="B13" s="34">
        <f>Table7[[#This Row],[2023]]</f>
        <v>1.0421636731144657</v>
      </c>
      <c r="C13" s="34">
        <f>Table7[[#This Row],[2024]]</f>
        <v>1.0587436844943567</v>
      </c>
      <c r="D13" s="34">
        <f>Table8[[#This Row],[2023]]</f>
        <v>1.6380373342689358</v>
      </c>
      <c r="E13" s="34">
        <f>Table8[[#This Row],[2024]]</f>
        <v>1.8421880707885077</v>
      </c>
      <c r="H13" s="21" t="s">
        <v>51</v>
      </c>
      <c r="I13" s="41">
        <v>0.21</v>
      </c>
      <c r="J13" s="41">
        <v>0.15</v>
      </c>
      <c r="K13" s="41">
        <v>0.2</v>
      </c>
      <c r="L13" s="42">
        <v>0.19</v>
      </c>
    </row>
    <row r="14" spans="1:12" x14ac:dyDescent="0.3">
      <c r="A14" s="21" t="s">
        <v>51</v>
      </c>
      <c r="B14" s="30">
        <f>Table7[[#This Row],[2023]]</f>
        <v>0.20988618807494624</v>
      </c>
      <c r="C14" s="30">
        <f>Table7[[#This Row],[2024]]</f>
        <v>0.1473732622261012</v>
      </c>
      <c r="D14" s="30">
        <f>Table8[[#This Row],[2023]]</f>
        <v>0.19824776395718446</v>
      </c>
      <c r="E14" s="30">
        <f>Table8[[#This Row],[2024]]</f>
        <v>0.19000339035035452</v>
      </c>
    </row>
  </sheetData>
  <mergeCells count="1">
    <mergeCell ref="A1:E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02F35-6939-4721-90A9-2F3365DE6F75}">
  <dimension ref="A1"/>
  <sheetViews>
    <sheetView showGridLines="0" zoomScale="53" zoomScaleNormal="100" workbookViewId="0">
      <selection activeCell="AK21" sqref="AK2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85FF2-4082-4F87-9223-14E02B3F9BC2}">
  <dimension ref="A1:R3"/>
  <sheetViews>
    <sheetView showGridLines="0" zoomScale="121" workbookViewId="0">
      <selection activeCell="D22" sqref="D22"/>
    </sheetView>
  </sheetViews>
  <sheetFormatPr defaultRowHeight="14.4" x14ac:dyDescent="0.3"/>
  <cols>
    <col min="1" max="1" width="23.77734375" customWidth="1"/>
    <col min="2" max="2" width="21.44140625" customWidth="1"/>
    <col min="4" max="4" width="15.77734375" customWidth="1"/>
  </cols>
  <sheetData>
    <row r="1" spans="1:18" ht="21" x14ac:dyDescent="0.4">
      <c r="A1" s="52" t="s">
        <v>73</v>
      </c>
      <c r="B1" s="52"/>
      <c r="C1" s="52"/>
      <c r="D1" s="52"/>
      <c r="E1" s="52"/>
    </row>
    <row r="2" spans="1:18" ht="21" x14ac:dyDescent="0.4">
      <c r="A2" s="51" t="s">
        <v>74</v>
      </c>
      <c r="B2" s="51"/>
      <c r="C2" s="51" t="s">
        <v>75</v>
      </c>
      <c r="D2" s="51"/>
      <c r="E2" s="51"/>
    </row>
    <row r="3" spans="1:18" x14ac:dyDescent="0.3">
      <c r="J3" s="45"/>
      <c r="R3" s="46"/>
    </row>
  </sheetData>
  <mergeCells count="3">
    <mergeCell ref="A2:B2"/>
    <mergeCell ref="C2:E2"/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Ratio Calculation</vt:lpstr>
      <vt:lpstr>Dashbord Data</vt:lpstr>
      <vt:lpstr>Dashbord</vt:lpstr>
      <vt:lpstr>Conclusion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</dc:creator>
  <cp:lastModifiedBy>Susmita Rani Saha</cp:lastModifiedBy>
  <cp:lastPrinted>2026-09-11T15:01:59Z</cp:lastPrinted>
  <dcterms:created xsi:type="dcterms:W3CDTF">2026-07-10T13:33:49Z</dcterms:created>
  <dcterms:modified xsi:type="dcterms:W3CDTF">2026-09-18T12:34:11Z</dcterms:modified>
</cp:coreProperties>
</file>